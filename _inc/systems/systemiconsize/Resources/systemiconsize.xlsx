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-DE\ES-DE\themes\playstation-x-es-de\_inc\systems\systemiconsize\Resources\"/>
    </mc:Choice>
  </mc:AlternateContent>
  <xr:revisionPtr revIDLastSave="0" documentId="13_ncr:1_{FB53FD3E-F650-4E77-8CBB-13C2431AA587}" xr6:coauthVersionLast="47" xr6:coauthVersionMax="47" xr10:uidLastSave="{00000000-0000-0000-0000-000000000000}"/>
  <bookViews>
    <workbookView xWindow="-120" yWindow="-120" windowWidth="38640" windowHeight="15840" activeTab="1" xr2:uid="{D24483B6-55A3-4F21-B4A4-AB3486DE5D76}"/>
  </bookViews>
  <sheets>
    <sheet name="Sheet1" sheetId="1" r:id="rId1"/>
    <sheet name="xm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L11" i="1"/>
  <c r="K11" i="1"/>
  <c r="K17" i="1" s="1"/>
  <c r="W9" i="1" s="1"/>
  <c r="E212" i="2" s="1"/>
  <c r="J11" i="1"/>
  <c r="J17" i="1" s="1"/>
  <c r="V9" i="1" s="1"/>
  <c r="E183" i="2" s="1"/>
  <c r="I11" i="1"/>
  <c r="H11" i="1"/>
  <c r="H17" i="1" s="1"/>
  <c r="T9" i="1" s="1"/>
  <c r="E125" i="2" s="1"/>
  <c r="G11" i="1"/>
  <c r="F11" i="1"/>
  <c r="F17" i="1" s="1"/>
  <c r="R9" i="1" s="1"/>
  <c r="E67" i="2" s="1"/>
  <c r="E11" i="1"/>
  <c r="D11" i="1"/>
  <c r="M27" i="1"/>
  <c r="L27" i="1"/>
  <c r="L33" i="1" s="1"/>
  <c r="X25" i="1" s="1"/>
  <c r="E250" i="2" s="1"/>
  <c r="K27" i="1"/>
  <c r="K33" i="1" s="1"/>
  <c r="W25" i="1" s="1"/>
  <c r="E221" i="2" s="1"/>
  <c r="J27" i="1"/>
  <c r="I27" i="1"/>
  <c r="H27" i="1"/>
  <c r="G27" i="1"/>
  <c r="F27" i="1"/>
  <c r="F33" i="1" s="1"/>
  <c r="R25" i="1" s="1"/>
  <c r="E76" i="2" s="1"/>
  <c r="E27" i="1"/>
  <c r="D27" i="1"/>
  <c r="D33" i="1" s="1"/>
  <c r="P25" i="1" s="1"/>
  <c r="E18" i="2" s="1"/>
  <c r="E43" i="1"/>
  <c r="F43" i="1"/>
  <c r="G43" i="1"/>
  <c r="G49" i="1" s="1"/>
  <c r="S41" i="1" s="1"/>
  <c r="E114" i="2" s="1"/>
  <c r="H43" i="1"/>
  <c r="H49" i="1" s="1"/>
  <c r="T41" i="1" s="1"/>
  <c r="E143" i="2" s="1"/>
  <c r="I43" i="1"/>
  <c r="J43" i="1"/>
  <c r="K43" i="1"/>
  <c r="L43" i="1"/>
  <c r="L49" i="1" s="1"/>
  <c r="X41" i="1" s="1"/>
  <c r="E259" i="2" s="1"/>
  <c r="M43" i="1"/>
  <c r="D43" i="1"/>
  <c r="D49" i="1" s="1"/>
  <c r="P41" i="1" s="1"/>
  <c r="E27" i="2" s="1"/>
  <c r="E49" i="1"/>
  <c r="Q41" i="1" s="1"/>
  <c r="E56" i="2" s="1"/>
  <c r="I49" i="1"/>
  <c r="U41" i="1" s="1"/>
  <c r="E172" i="2" s="1"/>
  <c r="E54" i="1"/>
  <c r="F54" i="1"/>
  <c r="G54" i="1"/>
  <c r="H54" i="1"/>
  <c r="I54" i="1"/>
  <c r="J54" i="1"/>
  <c r="K54" i="1"/>
  <c r="L54" i="1"/>
  <c r="M54" i="1"/>
  <c r="D54" i="1"/>
  <c r="D53" i="1"/>
  <c r="E53" i="1"/>
  <c r="F53" i="1"/>
  <c r="G53" i="1"/>
  <c r="H53" i="1"/>
  <c r="I53" i="1"/>
  <c r="J53" i="1"/>
  <c r="K53" i="1"/>
  <c r="L53" i="1"/>
  <c r="M53" i="1"/>
  <c r="M45" i="1"/>
  <c r="M49" i="1"/>
  <c r="Y41" i="1" s="1"/>
  <c r="E288" i="2" s="1"/>
  <c r="M33" i="1"/>
  <c r="Y25" i="1" s="1"/>
  <c r="E279" i="2" s="1"/>
  <c r="M17" i="1"/>
  <c r="Y9" i="1" s="1"/>
  <c r="E270" i="2" s="1"/>
  <c r="J33" i="1"/>
  <c r="V25" i="1" s="1"/>
  <c r="E192" i="2" s="1"/>
  <c r="I33" i="1"/>
  <c r="U25" i="1" s="1"/>
  <c r="E163" i="2" s="1"/>
  <c r="E33" i="1"/>
  <c r="Q25" i="1" s="1"/>
  <c r="E47" i="2" s="1"/>
  <c r="G17" i="1"/>
  <c r="S9" i="1" s="1"/>
  <c r="E96" i="2" s="1"/>
  <c r="L17" i="1"/>
  <c r="X9" i="1" s="1"/>
  <c r="E241" i="2" s="1"/>
  <c r="D17" i="1"/>
  <c r="P9" i="1" s="1"/>
  <c r="E9" i="2" s="1"/>
  <c r="K49" i="1"/>
  <c r="W41" i="1" s="1"/>
  <c r="E230" i="2" s="1"/>
  <c r="J49" i="1"/>
  <c r="V41" i="1" s="1"/>
  <c r="E201" i="2" s="1"/>
  <c r="F49" i="1"/>
  <c r="R41" i="1" s="1"/>
  <c r="E85" i="2" s="1"/>
  <c r="H33" i="1"/>
  <c r="T25" i="1" s="1"/>
  <c r="E134" i="2" s="1"/>
  <c r="G33" i="1"/>
  <c r="E17" i="1"/>
  <c r="Q9" i="1" s="1"/>
  <c r="E38" i="2" s="1"/>
  <c r="I17" i="1"/>
  <c r="U9" i="1" s="1"/>
  <c r="E154" i="2" s="1"/>
  <c r="S25" i="1"/>
  <c r="E105" i="2" s="1"/>
  <c r="D45" i="1"/>
  <c r="L29" i="1"/>
  <c r="F13" i="1"/>
  <c r="F16" i="1"/>
  <c r="J47" i="1"/>
  <c r="L31" i="1"/>
  <c r="D46" i="1"/>
  <c r="H30" i="1"/>
  <c r="J14" i="1"/>
  <c r="D14" i="1"/>
  <c r="E40" i="1"/>
  <c r="E47" i="1" s="1"/>
  <c r="F40" i="1"/>
  <c r="F48" i="1" s="1"/>
  <c r="G40" i="1"/>
  <c r="G41" i="1" s="1"/>
  <c r="G44" i="1" s="1"/>
  <c r="S38" i="1" s="1"/>
  <c r="H40" i="1"/>
  <c r="H41" i="1" s="1"/>
  <c r="T37" i="1" s="1"/>
  <c r="I40" i="1"/>
  <c r="I41" i="1" s="1"/>
  <c r="J40" i="1"/>
  <c r="J48" i="1" s="1"/>
  <c r="K40" i="1"/>
  <c r="K41" i="1" s="1"/>
  <c r="K44" i="1" s="1"/>
  <c r="W38" i="1" s="1"/>
  <c r="L40" i="1"/>
  <c r="L41" i="1" s="1"/>
  <c r="X37" i="1" s="1"/>
  <c r="M40" i="1"/>
  <c r="M47" i="1" s="1"/>
  <c r="D40" i="1"/>
  <c r="D41" i="1" s="1"/>
  <c r="D42" i="1" s="1"/>
  <c r="E24" i="1"/>
  <c r="E32" i="1" s="1"/>
  <c r="F24" i="1"/>
  <c r="F25" i="1" s="1"/>
  <c r="F29" i="1" s="1"/>
  <c r="G24" i="1"/>
  <c r="G25" i="1" s="1"/>
  <c r="G29" i="1" s="1"/>
  <c r="H24" i="1"/>
  <c r="H25" i="1" s="1"/>
  <c r="H26" i="1" s="1"/>
  <c r="I24" i="1"/>
  <c r="I25" i="1" s="1"/>
  <c r="I29" i="1" s="1"/>
  <c r="U24" i="1" s="1"/>
  <c r="E162" i="2" s="1"/>
  <c r="J24" i="1"/>
  <c r="J25" i="1" s="1"/>
  <c r="J28" i="1" s="1"/>
  <c r="V22" i="1" s="1"/>
  <c r="K24" i="1"/>
  <c r="K25" i="1" s="1"/>
  <c r="K29" i="1" s="1"/>
  <c r="L24" i="1"/>
  <c r="L25" i="1" s="1"/>
  <c r="L26" i="1" s="1"/>
  <c r="M24" i="1"/>
  <c r="M32" i="1" s="1"/>
  <c r="D24" i="1"/>
  <c r="D25" i="1" s="1"/>
  <c r="D29" i="1" s="1"/>
  <c r="E8" i="1"/>
  <c r="E15" i="1" s="1"/>
  <c r="F8" i="1"/>
  <c r="F9" i="1" s="1"/>
  <c r="R5" i="1" s="1"/>
  <c r="G8" i="1"/>
  <c r="G9" i="1" s="1"/>
  <c r="G13" i="1" s="1"/>
  <c r="H8" i="1"/>
  <c r="H9" i="1" s="1"/>
  <c r="T5" i="1" s="1"/>
  <c r="I8" i="1"/>
  <c r="I9" i="1" s="1"/>
  <c r="U5" i="1" s="1"/>
  <c r="J8" i="1"/>
  <c r="J15" i="1" s="1"/>
  <c r="K8" i="1"/>
  <c r="K9" i="1" s="1"/>
  <c r="K13" i="1" s="1"/>
  <c r="W8" i="1" s="1"/>
  <c r="E211" i="2" s="1"/>
  <c r="L8" i="1"/>
  <c r="L9" i="1" s="1"/>
  <c r="X5" i="1" s="1"/>
  <c r="M8" i="1"/>
  <c r="M15" i="1" s="1"/>
  <c r="D8" i="1"/>
  <c r="D9" i="1" s="1"/>
  <c r="D13" i="1" s="1"/>
  <c r="J41" i="1"/>
  <c r="J42" i="1" s="1"/>
  <c r="F41" i="1"/>
  <c r="F44" i="1" s="1"/>
  <c r="R38" i="1" s="1"/>
  <c r="M37" i="1"/>
  <c r="E37" i="1"/>
  <c r="M21" i="1"/>
  <c r="E21" i="1"/>
  <c r="M5" i="1"/>
  <c r="E5" i="1"/>
  <c r="X23" i="1" l="1"/>
  <c r="E248" i="2" s="1"/>
  <c r="T23" i="1"/>
  <c r="E132" i="2" s="1"/>
  <c r="P39" i="1"/>
  <c r="E25" i="2" s="1"/>
  <c r="V39" i="1"/>
  <c r="E199" i="2" s="1"/>
  <c r="P21" i="1"/>
  <c r="W5" i="1"/>
  <c r="U21" i="1"/>
  <c r="F14" i="1"/>
  <c r="H46" i="1"/>
  <c r="H15" i="1"/>
  <c r="H31" i="1"/>
  <c r="F47" i="1"/>
  <c r="D16" i="1"/>
  <c r="J32" i="1"/>
  <c r="H29" i="1"/>
  <c r="T24" i="1" s="1"/>
  <c r="E133" i="2" s="1"/>
  <c r="G45" i="1"/>
  <c r="S40" i="1" s="1"/>
  <c r="E113" i="2" s="1"/>
  <c r="L15" i="1"/>
  <c r="D31" i="1"/>
  <c r="H48" i="1"/>
  <c r="V21" i="1"/>
  <c r="E188" i="2" s="1"/>
  <c r="W37" i="1"/>
  <c r="K15" i="1"/>
  <c r="E31" i="1"/>
  <c r="M31" i="1"/>
  <c r="K47" i="1"/>
  <c r="F32" i="1"/>
  <c r="L48" i="1"/>
  <c r="J9" i="1"/>
  <c r="J12" i="1" s="1"/>
  <c r="V6" i="1" s="1"/>
  <c r="S5" i="1"/>
  <c r="R21" i="1"/>
  <c r="S37" i="1"/>
  <c r="E110" i="2" s="1"/>
  <c r="L30" i="1"/>
  <c r="L46" i="1"/>
  <c r="G15" i="1"/>
  <c r="I31" i="1"/>
  <c r="G47" i="1"/>
  <c r="J16" i="1"/>
  <c r="D48" i="1"/>
  <c r="K45" i="1"/>
  <c r="E237" i="2"/>
  <c r="E121" i="2"/>
  <c r="M14" i="1"/>
  <c r="I14" i="1"/>
  <c r="E14" i="1"/>
  <c r="G30" i="1"/>
  <c r="E46" i="1"/>
  <c r="I46" i="1"/>
  <c r="M46" i="1"/>
  <c r="M16" i="1"/>
  <c r="I16" i="1"/>
  <c r="E16" i="1"/>
  <c r="G32" i="1"/>
  <c r="K32" i="1"/>
  <c r="E48" i="1"/>
  <c r="I48" i="1"/>
  <c r="M48" i="1"/>
  <c r="H45" i="1"/>
  <c r="T40" i="1" s="1"/>
  <c r="E142" i="2" s="1"/>
  <c r="L45" i="1"/>
  <c r="X40" i="1" s="1"/>
  <c r="E258" i="2" s="1"/>
  <c r="S8" i="1"/>
  <c r="E95" i="2" s="1"/>
  <c r="P5" i="1"/>
  <c r="X21" i="1"/>
  <c r="E246" i="2" s="1"/>
  <c r="T21" i="1"/>
  <c r="E130" i="2" s="1"/>
  <c r="P37" i="1"/>
  <c r="V37" i="1"/>
  <c r="R37" i="1"/>
  <c r="E81" i="2" s="1"/>
  <c r="L14" i="1"/>
  <c r="H14" i="1"/>
  <c r="D30" i="1"/>
  <c r="J30" i="1"/>
  <c r="F30" i="1"/>
  <c r="F46" i="1"/>
  <c r="J46" i="1"/>
  <c r="D15" i="1"/>
  <c r="F15" i="1"/>
  <c r="F31" i="1"/>
  <c r="J31" i="1"/>
  <c r="D47" i="1"/>
  <c r="H47" i="1"/>
  <c r="L47" i="1"/>
  <c r="L16" i="1"/>
  <c r="H16" i="1"/>
  <c r="D32" i="1"/>
  <c r="H32" i="1"/>
  <c r="L32" i="1"/>
  <c r="I13" i="1"/>
  <c r="U8" i="1" s="1"/>
  <c r="E153" i="2" s="1"/>
  <c r="J29" i="1"/>
  <c r="V24" i="1" s="1"/>
  <c r="E191" i="2" s="1"/>
  <c r="I45" i="1"/>
  <c r="U40" i="1" s="1"/>
  <c r="E171" i="2" s="1"/>
  <c r="K30" i="1"/>
  <c r="W21" i="1"/>
  <c r="E217" i="2" s="1"/>
  <c r="S21" i="1"/>
  <c r="E101" i="2" s="1"/>
  <c r="U37" i="1"/>
  <c r="K14" i="1"/>
  <c r="G14" i="1"/>
  <c r="M30" i="1"/>
  <c r="I30" i="1"/>
  <c r="E30" i="1"/>
  <c r="G46" i="1"/>
  <c r="K46" i="1"/>
  <c r="I15" i="1"/>
  <c r="G31" i="1"/>
  <c r="K31" i="1"/>
  <c r="I47" i="1"/>
  <c r="K16" i="1"/>
  <c r="G16" i="1"/>
  <c r="I32" i="1"/>
  <c r="G48" i="1"/>
  <c r="K48" i="1"/>
  <c r="L13" i="1"/>
  <c r="X8" i="1" s="1"/>
  <c r="E240" i="2" s="1"/>
  <c r="H13" i="1"/>
  <c r="F45" i="1"/>
  <c r="R40" i="1" s="1"/>
  <c r="E84" i="2" s="1"/>
  <c r="J45" i="1"/>
  <c r="P24" i="1"/>
  <c r="E17" i="2" s="1"/>
  <c r="W24" i="1"/>
  <c r="E220" i="2" s="1"/>
  <c r="S24" i="1"/>
  <c r="E104" i="2" s="1"/>
  <c r="R8" i="1"/>
  <c r="E66" i="2" s="1"/>
  <c r="R24" i="1"/>
  <c r="E75" i="2" s="1"/>
  <c r="E5" i="2"/>
  <c r="F42" i="1"/>
  <c r="R39" i="1" s="1"/>
  <c r="E83" i="2" s="1"/>
  <c r="T8" i="1"/>
  <c r="E124" i="2" s="1"/>
  <c r="H28" i="1"/>
  <c r="T22" i="1" s="1"/>
  <c r="X24" i="1"/>
  <c r="E249" i="2" s="1"/>
  <c r="V40" i="1"/>
  <c r="E200" i="2" s="1"/>
  <c r="E9" i="1"/>
  <c r="P40" i="1"/>
  <c r="E26" i="2" s="1"/>
  <c r="W40" i="1"/>
  <c r="E229" i="2" s="1"/>
  <c r="I12" i="1"/>
  <c r="U6" i="1" s="1"/>
  <c r="E168" i="2"/>
  <c r="P8" i="1"/>
  <c r="E8" i="2" s="1"/>
  <c r="E41" i="1"/>
  <c r="E92" i="2"/>
  <c r="G12" i="1"/>
  <c r="S6" i="1" s="1"/>
  <c r="I26" i="1"/>
  <c r="U23" i="1" s="1"/>
  <c r="E161" i="2" s="1"/>
  <c r="I28" i="1"/>
  <c r="U22" i="1" s="1"/>
  <c r="E160" i="2" s="1"/>
  <c r="F12" i="1"/>
  <c r="R6" i="1" s="1"/>
  <c r="E63" i="2"/>
  <c r="E197" i="2"/>
  <c r="E25" i="1"/>
  <c r="D44" i="1"/>
  <c r="P38" i="1" s="1"/>
  <c r="E24" i="2" s="1"/>
  <c r="E23" i="2"/>
  <c r="L28" i="1"/>
  <c r="X22" i="1" s="1"/>
  <c r="E247" i="2" s="1"/>
  <c r="L12" i="1"/>
  <c r="X6" i="1" s="1"/>
  <c r="G26" i="1"/>
  <c r="S23" i="1" s="1"/>
  <c r="E103" i="2" s="1"/>
  <c r="G28" i="1"/>
  <c r="S22" i="1" s="1"/>
  <c r="E102" i="2" s="1"/>
  <c r="D10" i="1"/>
  <c r="P7" i="1" s="1"/>
  <c r="E7" i="2" s="1"/>
  <c r="D12" i="1"/>
  <c r="P6" i="1" s="1"/>
  <c r="E6" i="2" s="1"/>
  <c r="K26" i="1"/>
  <c r="W23" i="1" s="1"/>
  <c r="E219" i="2" s="1"/>
  <c r="K28" i="1"/>
  <c r="W22" i="1" s="1"/>
  <c r="E218" i="2" s="1"/>
  <c r="I42" i="1"/>
  <c r="U39" i="1" s="1"/>
  <c r="E170" i="2" s="1"/>
  <c r="I44" i="1"/>
  <c r="U38" i="1" s="1"/>
  <c r="E169" i="2" s="1"/>
  <c r="M9" i="1"/>
  <c r="H12" i="1"/>
  <c r="T6" i="1" s="1"/>
  <c r="J44" i="1"/>
  <c r="V38" i="1" s="1"/>
  <c r="E198" i="2" s="1"/>
  <c r="K10" i="1"/>
  <c r="W7" i="1" s="1"/>
  <c r="E210" i="2" s="1"/>
  <c r="E208" i="2"/>
  <c r="K12" i="1"/>
  <c r="W6" i="1" s="1"/>
  <c r="E209" i="2" s="1"/>
  <c r="F26" i="1"/>
  <c r="R23" i="1" s="1"/>
  <c r="E74" i="2" s="1"/>
  <c r="F28" i="1"/>
  <c r="R22" i="1" s="1"/>
  <c r="E73" i="2" s="1"/>
  <c r="E72" i="2"/>
  <c r="D26" i="1"/>
  <c r="P23" i="1" s="1"/>
  <c r="E16" i="2" s="1"/>
  <c r="E14" i="2"/>
  <c r="D28" i="1"/>
  <c r="P22" i="1" s="1"/>
  <c r="E15" i="2" s="1"/>
  <c r="J26" i="1"/>
  <c r="V23" i="1" s="1"/>
  <c r="E190" i="2" s="1"/>
  <c r="L42" i="1"/>
  <c r="X39" i="1" s="1"/>
  <c r="E257" i="2" s="1"/>
  <c r="L44" i="1"/>
  <c r="X38" i="1" s="1"/>
  <c r="E256" i="2" s="1"/>
  <c r="E255" i="2"/>
  <c r="H42" i="1"/>
  <c r="T39" i="1" s="1"/>
  <c r="E141" i="2" s="1"/>
  <c r="H44" i="1"/>
  <c r="T38" i="1" s="1"/>
  <c r="E140" i="2" s="1"/>
  <c r="E139" i="2"/>
  <c r="E150" i="2"/>
  <c r="M41" i="1"/>
  <c r="M25" i="1"/>
  <c r="E159" i="2"/>
  <c r="E226" i="2"/>
  <c r="K42" i="1"/>
  <c r="W39" i="1" s="1"/>
  <c r="E228" i="2" s="1"/>
  <c r="G42" i="1"/>
  <c r="S39" i="1" s="1"/>
  <c r="E112" i="2" s="1"/>
  <c r="E180" i="2"/>
  <c r="H10" i="1"/>
  <c r="T7" i="1" s="1"/>
  <c r="E123" i="2" s="1"/>
  <c r="L10" i="1"/>
  <c r="X7" i="1" s="1"/>
  <c r="E239" i="2" s="1"/>
  <c r="G10" i="1"/>
  <c r="S7" i="1" s="1"/>
  <c r="E94" i="2" s="1"/>
  <c r="F10" i="1"/>
  <c r="R7" i="1" s="1"/>
  <c r="E65" i="2" s="1"/>
  <c r="I10" i="1"/>
  <c r="U7" i="1" s="1"/>
  <c r="E152" i="2" s="1"/>
  <c r="E10" i="1"/>
  <c r="Q7" i="1" s="1"/>
  <c r="E36" i="2" s="1"/>
  <c r="E111" i="2"/>
  <c r="E227" i="2"/>
  <c r="E82" i="2"/>
  <c r="E131" i="2"/>
  <c r="E189" i="2"/>
  <c r="V5" i="1" l="1"/>
  <c r="E179" i="2" s="1"/>
  <c r="J13" i="1"/>
  <c r="V8" i="1" s="1"/>
  <c r="E182" i="2" s="1"/>
  <c r="J10" i="1"/>
  <c r="V7" i="1" s="1"/>
  <c r="E181" i="2" s="1"/>
  <c r="M29" i="1"/>
  <c r="Y24" i="1" s="1"/>
  <c r="E278" i="2" s="1"/>
  <c r="Y21" i="1"/>
  <c r="Y5" i="1"/>
  <c r="E266" i="2" s="1"/>
  <c r="M13" i="1"/>
  <c r="Y8" i="1" s="1"/>
  <c r="E269" i="2" s="1"/>
  <c r="Q21" i="1"/>
  <c r="E43" i="2" s="1"/>
  <c r="E29" i="1"/>
  <c r="Q24" i="1" s="1"/>
  <c r="E46" i="2" s="1"/>
  <c r="Y37" i="1"/>
  <c r="E284" i="2" s="1"/>
  <c r="Y40" i="1"/>
  <c r="E287" i="2" s="1"/>
  <c r="Q37" i="1"/>
  <c r="E52" i="2" s="1"/>
  <c r="E45" i="1"/>
  <c r="E26" i="1"/>
  <c r="Q23" i="1" s="1"/>
  <c r="E45" i="2" s="1"/>
  <c r="E12" i="1"/>
  <c r="Q6" i="1" s="1"/>
  <c r="E35" i="2" s="1"/>
  <c r="Q5" i="1"/>
  <c r="E34" i="2" s="1"/>
  <c r="E13" i="1"/>
  <c r="Q8" i="1"/>
  <c r="E37" i="2" s="1"/>
  <c r="E42" i="1"/>
  <c r="Q39" i="1" s="1"/>
  <c r="E54" i="2" s="1"/>
  <c r="M26" i="1"/>
  <c r="Y23" i="1" s="1"/>
  <c r="E277" i="2" s="1"/>
  <c r="E44" i="1"/>
  <c r="Q38" i="1" s="1"/>
  <c r="E53" i="2" s="1"/>
  <c r="Q40" i="1"/>
  <c r="E55" i="2" s="1"/>
  <c r="E28" i="1"/>
  <c r="Q22" i="1" s="1"/>
  <c r="E44" i="2" s="1"/>
  <c r="M44" i="1"/>
  <c r="Y38" i="1" s="1"/>
  <c r="E285" i="2" s="1"/>
  <c r="M10" i="1"/>
  <c r="Y7" i="1" s="1"/>
  <c r="E268" i="2" s="1"/>
  <c r="M12" i="1"/>
  <c r="Y6" i="1" s="1"/>
  <c r="E267" i="2" s="1"/>
  <c r="M42" i="1"/>
  <c r="Y39" i="1" s="1"/>
  <c r="E286" i="2" s="1"/>
  <c r="E275" i="2"/>
  <c r="M28" i="1"/>
  <c r="Y22" i="1" s="1"/>
  <c r="E276" i="2" s="1"/>
  <c r="E238" i="2"/>
  <c r="E122" i="2"/>
  <c r="E93" i="2"/>
  <c r="E151" i="2"/>
  <c r="E64" i="2"/>
</calcChain>
</file>

<file path=xl/sharedStrings.xml><?xml version="1.0" encoding="utf-8"?>
<sst xmlns="http://schemas.openxmlformats.org/spreadsheetml/2006/main" count="185" uniqueCount="35">
  <si>
    <t>x</t>
  </si>
  <si>
    <t>y</t>
  </si>
  <si>
    <t>Y size</t>
  </si>
  <si>
    <t>X Size</t>
  </si>
  <si>
    <t>Max #</t>
  </si>
  <si>
    <t>Rounddown</t>
  </si>
  <si>
    <t>Item Scale</t>
  </si>
  <si>
    <t>selectedMargins</t>
  </si>
  <si>
    <t>&lt;theme&gt;</t>
  </si>
  <si>
    <t>&lt;aspectRatio name="1:1"&gt;</t>
  </si>
  <si>
    <t>&lt;fontSize name="small"&gt;</t>
  </si>
  <si>
    <t>&lt;variables&gt;</t>
  </si>
  <si>
    <t>&lt;/variables&gt;</t>
  </si>
  <si>
    <t>&lt;/fontSize&gt;</t>
  </si>
  <si>
    <t>&lt;fontSize name="medium"&gt;</t>
  </si>
  <si>
    <t>&lt;fontSize name="large"&gt;</t>
  </si>
  <si>
    <t>&lt;/aspectRatio&gt;</t>
  </si>
  <si>
    <t>&lt;aspectRatio name="8:7"&gt;</t>
  </si>
  <si>
    <t>&lt;aspectRatio name="5:4"&gt;</t>
  </si>
  <si>
    <t>&lt;aspectRatio name="4:3"&gt;</t>
  </si>
  <si>
    <t>&lt;aspectRatio name="3:2"&gt;</t>
  </si>
  <si>
    <t>&lt;aspectRatio name="16:10"&gt;</t>
  </si>
  <si>
    <t>&lt;aspectRatio name="16:9"&gt;</t>
  </si>
  <si>
    <t>&lt;aspectRatio name="19.5:9"&gt;</t>
  </si>
  <si>
    <t>&lt;aspectRatio name="21:9"&gt;</t>
  </si>
  <si>
    <t>&lt;aspectRatio name="32:9"&gt;</t>
  </si>
  <si>
    <t>&lt;/theme&gt;</t>
  </si>
  <si>
    <t>Small</t>
  </si>
  <si>
    <t>Medium</t>
  </si>
  <si>
    <t>Large</t>
  </si>
  <si>
    <t>selectorX</t>
  </si>
  <si>
    <t>startYpos</t>
  </si>
  <si>
    <t>selectorYSizePS4</t>
  </si>
  <si>
    <t>selectorYSizePS5</t>
  </si>
  <si>
    <t>sysNameXPos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</si>
</sst>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CE2D-7855-436A-BEEB-6DD041C9E8BE}">
  <dimension ref="A1:Y54"/>
  <sheetViews>
    <sheetView topLeftCell="A4" workbookViewId="0">
      <selection activeCell="D11" sqref="D11:M11"/>
    </sheetView>
  </sheetViews>
  <sheetFormatPr defaultRowHeight="15" x14ac:dyDescent="0.25"/>
  <cols>
    <col min="3" max="3" width="17.140625" customWidth="1"/>
  </cols>
  <sheetData>
    <row r="1" spans="1:25" x14ac:dyDescent="0.25">
      <c r="O1" t="s">
        <v>6</v>
      </c>
      <c r="P1">
        <v>1.5</v>
      </c>
    </row>
    <row r="3" spans="1:25" x14ac:dyDescent="0.25">
      <c r="A3" s="3" t="s">
        <v>27</v>
      </c>
      <c r="B3" t="s">
        <v>1</v>
      </c>
      <c r="C3" s="1">
        <v>0.17</v>
      </c>
      <c r="D3" s="2">
        <v>1</v>
      </c>
      <c r="E3" s="2">
        <v>8</v>
      </c>
      <c r="F3" s="2">
        <v>5</v>
      </c>
      <c r="G3" s="2">
        <v>4</v>
      </c>
      <c r="H3" s="2">
        <v>3</v>
      </c>
      <c r="I3" s="2">
        <v>16</v>
      </c>
      <c r="J3" s="2">
        <v>16</v>
      </c>
      <c r="K3" s="2">
        <v>19.5</v>
      </c>
      <c r="L3" s="2">
        <v>21</v>
      </c>
      <c r="M3" s="2">
        <v>32</v>
      </c>
      <c r="P3" s="2">
        <v>1</v>
      </c>
      <c r="Q3" s="2">
        <v>8</v>
      </c>
      <c r="R3" s="2">
        <v>5</v>
      </c>
      <c r="S3" s="2">
        <v>4</v>
      </c>
      <c r="T3" s="2">
        <v>3</v>
      </c>
      <c r="U3" s="2">
        <v>16</v>
      </c>
      <c r="V3" s="2">
        <v>16</v>
      </c>
      <c r="W3" s="2">
        <v>19.5</v>
      </c>
      <c r="X3" s="2">
        <v>21</v>
      </c>
      <c r="Y3" s="2">
        <v>32</v>
      </c>
    </row>
    <row r="4" spans="1:25" x14ac:dyDescent="0.25">
      <c r="C4" s="1"/>
      <c r="D4" s="2">
        <v>1</v>
      </c>
      <c r="E4" s="2">
        <v>7</v>
      </c>
      <c r="F4" s="2">
        <v>4</v>
      </c>
      <c r="G4" s="2">
        <v>3</v>
      </c>
      <c r="H4" s="2">
        <v>2</v>
      </c>
      <c r="I4" s="2">
        <v>10</v>
      </c>
      <c r="J4" s="2">
        <v>9</v>
      </c>
      <c r="K4" s="2">
        <v>9</v>
      </c>
      <c r="L4" s="2">
        <v>9</v>
      </c>
      <c r="M4" s="2">
        <v>9</v>
      </c>
      <c r="P4" s="2">
        <v>1</v>
      </c>
      <c r="Q4" s="2">
        <v>7</v>
      </c>
      <c r="R4" s="2">
        <v>4</v>
      </c>
      <c r="S4" s="2">
        <v>3</v>
      </c>
      <c r="T4" s="2">
        <v>2</v>
      </c>
      <c r="U4" s="2">
        <v>10</v>
      </c>
      <c r="V4" s="2">
        <v>9</v>
      </c>
      <c r="W4" s="2">
        <v>9</v>
      </c>
      <c r="X4" s="2">
        <v>9</v>
      </c>
      <c r="Y4" s="2">
        <v>9</v>
      </c>
    </row>
    <row r="5" spans="1:25" x14ac:dyDescent="0.25">
      <c r="C5" s="2" t="s">
        <v>0</v>
      </c>
      <c r="D5" s="2">
        <v>720</v>
      </c>
      <c r="E5">
        <f>E6*E3/E4</f>
        <v>822.85714285714289</v>
      </c>
      <c r="F5" s="2">
        <v>900</v>
      </c>
      <c r="G5" s="2">
        <v>960</v>
      </c>
      <c r="H5" s="2">
        <v>1080</v>
      </c>
      <c r="I5" s="2">
        <v>1152</v>
      </c>
      <c r="J5" s="2">
        <v>1280</v>
      </c>
      <c r="K5" s="2">
        <v>1560</v>
      </c>
      <c r="L5" s="2">
        <v>1680</v>
      </c>
      <c r="M5">
        <f>M6*M3/M4</f>
        <v>2560</v>
      </c>
      <c r="P5" t="str">
        <f>"&lt;itemSizeSysCarousel&gt;"&amp;D9&amp;" "&amp;D8&amp;"&lt;/itemSizeSysCarousel&gt;"</f>
        <v>&lt;itemSizeSysCarousel&gt;0.17 0.17&lt;/itemSizeSysCarousel&gt;</v>
      </c>
      <c r="Q5" t="str">
        <f t="shared" ref="Q5:Y5" si="0">"&lt;itemSizeSysCarousel&gt;"&amp;E9&amp;" "&amp;E8&amp;"&lt;/itemSizeSysCarousel&gt;"</f>
        <v>&lt;itemSizeSysCarousel&gt;0.14875 0.17&lt;/itemSizeSysCarousel&gt;</v>
      </c>
      <c r="R5" t="str">
        <f t="shared" si="0"/>
        <v>&lt;itemSizeSysCarousel&gt;0.136 0.17&lt;/itemSizeSysCarousel&gt;</v>
      </c>
      <c r="S5" t="str">
        <f t="shared" si="0"/>
        <v>&lt;itemSizeSysCarousel&gt;0.1275 0.17&lt;/itemSizeSysCarousel&gt;</v>
      </c>
      <c r="T5" t="str">
        <f t="shared" si="0"/>
        <v>&lt;itemSizeSysCarousel&gt;0.113333333333333 0.17&lt;/itemSizeSysCarousel&gt;</v>
      </c>
      <c r="U5" t="str">
        <f t="shared" si="0"/>
        <v>&lt;itemSizeSysCarousel&gt;0.10625 0.17&lt;/itemSizeSysCarousel&gt;</v>
      </c>
      <c r="V5" t="str">
        <f t="shared" si="0"/>
        <v>&lt;itemSizeSysCarousel&gt;0.095625 0.17&lt;/itemSizeSysCarousel&gt;</v>
      </c>
      <c r="W5" t="str">
        <f t="shared" si="0"/>
        <v>&lt;itemSizeSysCarousel&gt;0.0784615384615385 0.17&lt;/itemSizeSysCarousel&gt;</v>
      </c>
      <c r="X5" t="str">
        <f t="shared" si="0"/>
        <v>&lt;itemSizeSysCarousel&gt;0.0728571428571429 0.17&lt;/itemSizeSysCarousel&gt;</v>
      </c>
      <c r="Y5" t="str">
        <f t="shared" si="0"/>
        <v>&lt;itemSizeSysCarousel&gt;0.0478125 0.17&lt;/itemSizeSysCarousel&gt;</v>
      </c>
    </row>
    <row r="6" spans="1:25" x14ac:dyDescent="0.25">
      <c r="C6" s="2" t="s">
        <v>1</v>
      </c>
      <c r="D6" s="2">
        <v>720</v>
      </c>
      <c r="E6" s="2">
        <v>720</v>
      </c>
      <c r="F6" s="2">
        <v>720</v>
      </c>
      <c r="G6" s="2">
        <v>720</v>
      </c>
      <c r="H6" s="2">
        <v>720</v>
      </c>
      <c r="I6" s="2">
        <v>720</v>
      </c>
      <c r="J6" s="2">
        <v>720</v>
      </c>
      <c r="K6" s="2">
        <v>720</v>
      </c>
      <c r="L6" s="2">
        <v>720</v>
      </c>
      <c r="M6" s="2">
        <v>720</v>
      </c>
      <c r="P6" t="str">
        <f>"&lt;selectedItemMarginsSysCarousel&gt;"&amp;D12&amp;" "&amp;D12&amp;"&lt;/selectedItemMarginsSysCarousel&gt;"</f>
        <v>&lt;selectedItemMarginsSysCarousel&gt;0.0425 0.0425&lt;/selectedItemMarginsSysCarousel&gt;</v>
      </c>
      <c r="Q6" t="str">
        <f t="shared" ref="Q6:Y6" si="1">"&lt;selectedItemMarginsSysCarousel&gt;"&amp;E12&amp;" "&amp;E12&amp;"&lt;/selectedItemMarginsSysCarousel&gt;"</f>
        <v>&lt;selectedItemMarginsSysCarousel&gt;0.0371875 0.0371875&lt;/selectedItemMarginsSysCarousel&gt;</v>
      </c>
      <c r="R6" t="str">
        <f t="shared" si="1"/>
        <v>&lt;selectedItemMarginsSysCarousel&gt;0.034 0.034&lt;/selectedItemMarginsSysCarousel&gt;</v>
      </c>
      <c r="S6" t="str">
        <f t="shared" si="1"/>
        <v>&lt;selectedItemMarginsSysCarousel&gt;0.031875 0.031875&lt;/selectedItemMarginsSysCarousel&gt;</v>
      </c>
      <c r="T6" t="str">
        <f t="shared" si="1"/>
        <v>&lt;selectedItemMarginsSysCarousel&gt;0.0283333333333333 0.0283333333333333&lt;/selectedItemMarginsSysCarousel&gt;</v>
      </c>
      <c r="U6" t="str">
        <f t="shared" si="1"/>
        <v>&lt;selectedItemMarginsSysCarousel&gt;0.0265625 0.0265625&lt;/selectedItemMarginsSysCarousel&gt;</v>
      </c>
      <c r="V6" t="str">
        <f t="shared" si="1"/>
        <v>&lt;selectedItemMarginsSysCarousel&gt;0.02390625 0.02390625&lt;/selectedItemMarginsSysCarousel&gt;</v>
      </c>
      <c r="W6" t="str">
        <f t="shared" si="1"/>
        <v>&lt;selectedItemMarginsSysCarousel&gt;0.0196153846153846 0.0196153846153846&lt;/selectedItemMarginsSysCarousel&gt;</v>
      </c>
      <c r="X6" t="str">
        <f t="shared" si="1"/>
        <v>&lt;selectedItemMarginsSysCarousel&gt;0.0182142857142857 0.0182142857142857&lt;/selectedItemMarginsSysCarousel&gt;</v>
      </c>
      <c r="Y6" t="str">
        <f t="shared" si="1"/>
        <v>&lt;selectedItemMarginsSysCarousel&gt;0.011953125 0.011953125&lt;/selectedItemMarginsSysCarousel&gt;</v>
      </c>
    </row>
    <row r="7" spans="1:25" x14ac:dyDescent="0.25">
      <c r="P7" t="str">
        <f>"&lt;maxItemCountSysCarousel&gt;"&amp;D11&amp;"&lt;/maxItemCountSysCarousel&gt;"</f>
        <v>&lt;maxItemCountSysCarousel&gt;5.58235294117647&lt;/maxItemCountSysCarousel&gt;</v>
      </c>
      <c r="Q7" t="str">
        <f t="shared" ref="Q7:Y7" si="2">"&lt;maxItemCountSysCarousel&gt;"&amp;E11&amp;"&lt;/maxItemCountSysCarousel&gt;"</f>
        <v>&lt;maxItemCountSysCarousel&gt;6.37983193277311&lt;/maxItemCountSysCarousel&gt;</v>
      </c>
      <c r="R7" t="str">
        <f t="shared" si="2"/>
        <v>&lt;maxItemCountSysCarousel&gt;6.97794117647059&lt;/maxItemCountSysCarousel&gt;</v>
      </c>
      <c r="S7" t="str">
        <f t="shared" si="2"/>
        <v>&lt;maxItemCountSysCarousel&gt;7.44313725490196&lt;/maxItemCountSysCarousel&gt;</v>
      </c>
      <c r="T7" t="str">
        <f t="shared" si="2"/>
        <v>&lt;maxItemCountSysCarousel&gt;8.37352941176471&lt;/maxItemCountSysCarousel&gt;</v>
      </c>
      <c r="U7" t="str">
        <f t="shared" si="2"/>
        <v>&lt;maxItemCountSysCarousel&gt;8.93176470588235&lt;/maxItemCountSysCarousel&gt;</v>
      </c>
      <c r="V7" t="str">
        <f t="shared" si="2"/>
        <v>&lt;maxItemCountSysCarousel&gt;9.92418300653595&lt;/maxItemCountSysCarousel&gt;</v>
      </c>
      <c r="W7" t="str">
        <f t="shared" si="2"/>
        <v>&lt;maxItemCountSysCarousel&gt;12.0950980392157&lt;/maxItemCountSysCarousel&gt;</v>
      </c>
      <c r="X7" t="str">
        <f t="shared" si="2"/>
        <v>&lt;maxItemCountSysCarousel&gt;13.0254901960784&lt;/maxItemCountSysCarousel&gt;</v>
      </c>
      <c r="Y7" t="str">
        <f t="shared" si="2"/>
        <v>&lt;maxItemCountSysCarousel&gt;19.8483660130719&lt;/maxItemCountSysCarousel&gt;</v>
      </c>
    </row>
    <row r="8" spans="1:25" x14ac:dyDescent="0.25">
      <c r="C8" t="s">
        <v>2</v>
      </c>
      <c r="D8">
        <f>$C$3</f>
        <v>0.17</v>
      </c>
      <c r="E8">
        <f t="shared" ref="E8:M8" si="3">$C$3</f>
        <v>0.17</v>
      </c>
      <c r="F8">
        <f t="shared" si="3"/>
        <v>0.17</v>
      </c>
      <c r="G8">
        <f t="shared" si="3"/>
        <v>0.17</v>
      </c>
      <c r="H8">
        <f t="shared" si="3"/>
        <v>0.17</v>
      </c>
      <c r="I8">
        <f t="shared" si="3"/>
        <v>0.17</v>
      </c>
      <c r="J8">
        <f t="shared" si="3"/>
        <v>0.17</v>
      </c>
      <c r="K8">
        <f t="shared" si="3"/>
        <v>0.17</v>
      </c>
      <c r="L8">
        <f t="shared" si="3"/>
        <v>0.17</v>
      </c>
      <c r="M8">
        <f t="shared" si="3"/>
        <v>0.17</v>
      </c>
      <c r="P8" t="str">
        <f>"&lt;selectorXSizeSysCarousel&gt;"&amp;D13&amp;"&lt;/selectorXSizeSysCarousel&gt;"</f>
        <v>&lt;selectorXSizeSysCarousel&gt;0.257&lt;/selectorXSizeSysCarousel&gt;</v>
      </c>
      <c r="Q8" t="str">
        <f t="shared" ref="Q8:Y8" si="4">"&lt;selectorXSizeSysCarousel&gt;"&amp;E13&amp;"&lt;/selectorXSizeSysCarousel&gt;"</f>
        <v>&lt;selectorXSizeSysCarousel&gt;0.2252&lt;/selectorXSizeSysCarousel&gt;</v>
      </c>
      <c r="R8" t="str">
        <f t="shared" si="4"/>
        <v>&lt;selectorXSizeSysCarousel&gt;0.206&lt;/selectorXSizeSysCarousel&gt;</v>
      </c>
      <c r="S8" t="str">
        <f t="shared" si="4"/>
        <v>&lt;selectorXSizeSysCarousel&gt;0.1933&lt;/selectorXSizeSysCarousel&gt;</v>
      </c>
      <c r="T8" t="str">
        <f t="shared" si="4"/>
        <v>&lt;selectorXSizeSysCarousel&gt;0.172&lt;/selectorXSizeSysCarousel&gt;</v>
      </c>
      <c r="U8" t="str">
        <f t="shared" si="4"/>
        <v>&lt;selectorXSizeSysCarousel&gt;0.1614&lt;/selectorXSizeSysCarousel&gt;</v>
      </c>
      <c r="V8" t="str">
        <f t="shared" si="4"/>
        <v>&lt;selectorXSizeSysCarousel&gt;0.1455&lt;/selectorXSizeSysCarousel&gt;</v>
      </c>
      <c r="W8" t="str">
        <f t="shared" si="4"/>
        <v>&lt;selectorXSizeSysCarousel&gt;0.1197&lt;/selectorXSizeSysCarousel&gt;</v>
      </c>
      <c r="X8" t="str">
        <f t="shared" si="4"/>
        <v>&lt;selectorXSizeSysCarousel&gt;0.1113&lt;/selectorXSizeSysCarousel&gt;</v>
      </c>
      <c r="Y8" t="str">
        <f t="shared" si="4"/>
        <v>&lt;selectorXSizeSysCarousel&gt;0.0738&lt;/selectorXSizeSysCarousel&gt;</v>
      </c>
    </row>
    <row r="9" spans="1:25" x14ac:dyDescent="0.25">
      <c r="C9" t="s">
        <v>3</v>
      </c>
      <c r="D9">
        <f>D8*D6/D5</f>
        <v>0.17</v>
      </c>
      <c r="E9">
        <f t="shared" ref="E9:M9" si="5">E8*E6/E5</f>
        <v>0.14874999999999999</v>
      </c>
      <c r="F9">
        <f t="shared" si="5"/>
        <v>0.13600000000000001</v>
      </c>
      <c r="G9">
        <f t="shared" si="5"/>
        <v>0.1275</v>
      </c>
      <c r="H9">
        <f t="shared" si="5"/>
        <v>0.11333333333333334</v>
      </c>
      <c r="I9">
        <f t="shared" si="5"/>
        <v>0.10625000000000001</v>
      </c>
      <c r="J9">
        <f t="shared" si="5"/>
        <v>9.5625000000000002E-2</v>
      </c>
      <c r="K9">
        <f t="shared" si="5"/>
        <v>7.8461538461538471E-2</v>
      </c>
      <c r="L9">
        <f t="shared" si="5"/>
        <v>7.2857142857142856E-2</v>
      </c>
      <c r="M9">
        <f t="shared" si="5"/>
        <v>4.7812500000000001E-2</v>
      </c>
      <c r="P9" t="str">
        <f>"&lt;sysNameXPos&gt;"&amp;D17&amp;"&lt;/sysNameXPos&gt;"</f>
        <v>&lt;sysNameXPos&gt;0.388629653401797&lt;/sysNameXPos&gt;</v>
      </c>
      <c r="Q9" t="str">
        <f t="shared" ref="Q9:Y9" si="6">"&lt;sysNameXPos&gt;"&amp;E17&amp;"&lt;/sysNameXPos&gt;"</f>
        <v>&lt;sysNameXPos&gt;0.37104235004686&lt;/sysNameXPos&gt;</v>
      </c>
      <c r="R9" t="str">
        <f t="shared" si="6"/>
        <v>&lt;sysNameXPos&gt;0.360531365313653&lt;/sysNameXPos&gt;</v>
      </c>
      <c r="S9" t="str">
        <f t="shared" si="6"/>
        <v>&lt;sysNameXPos&gt;0.353540398660986&lt;/sysNameXPos&gt;</v>
      </c>
      <c r="T9" t="str">
        <f t="shared" si="6"/>
        <v>&lt;sysNameXPos&gt;0.341916633426406&lt;/sysNameXPos&gt;</v>
      </c>
      <c r="U9" t="str">
        <f t="shared" si="6"/>
        <v>&lt;sysNameXPos&gt;0.336117342776624&lt;/sysNameXPos&gt;</v>
      </c>
      <c r="V9" t="str">
        <f t="shared" si="6"/>
        <v>&lt;sysNameXPos&gt;0.327433558847224&lt;/sysNameXPos&gt;</v>
      </c>
      <c r="W9" t="str">
        <f t="shared" si="6"/>
        <v>&lt;sysNameXPos&gt;0.313442778393295&lt;/sysNameXPos&gt;</v>
      </c>
      <c r="X9" t="str">
        <f t="shared" si="6"/>
        <v>&lt;sysNameXPos&gt;0.308883848501083&lt;/sysNameXPos&gt;</v>
      </c>
      <c r="Y9" t="str">
        <f t="shared" si="6"/>
        <v>&lt;sysNameXPos&gt;0.288565179840835&lt;/sysNameXPos&gt;</v>
      </c>
    </row>
    <row r="10" spans="1:25" x14ac:dyDescent="0.25">
      <c r="C10" t="s">
        <v>4</v>
      </c>
      <c r="D10">
        <f>1/D9</f>
        <v>5.8823529411764701</v>
      </c>
      <c r="E10">
        <f t="shared" ref="E10:M10" si="7">1/E9</f>
        <v>6.7226890756302522</v>
      </c>
      <c r="F10">
        <f t="shared" si="7"/>
        <v>7.3529411764705879</v>
      </c>
      <c r="G10">
        <f t="shared" si="7"/>
        <v>7.8431372549019605</v>
      </c>
      <c r="H10">
        <f t="shared" si="7"/>
        <v>8.8235294117647047</v>
      </c>
      <c r="I10">
        <f t="shared" si="7"/>
        <v>9.4117647058823515</v>
      </c>
      <c r="J10">
        <f>1/J9</f>
        <v>10.457516339869281</v>
      </c>
      <c r="K10">
        <f t="shared" si="7"/>
        <v>12.745098039215685</v>
      </c>
      <c r="L10">
        <f t="shared" si="7"/>
        <v>13.725490196078432</v>
      </c>
      <c r="M10">
        <f t="shared" si="7"/>
        <v>20.915032679738562</v>
      </c>
    </row>
    <row r="11" spans="1:25" x14ac:dyDescent="0.25">
      <c r="C11" t="s">
        <v>5</v>
      </c>
      <c r="D11">
        <f>D10-D$54</f>
        <v>5.5823529411764703</v>
      </c>
      <c r="E11">
        <f t="shared" ref="E11" si="8">E10-E$54</f>
        <v>6.3798319327731097</v>
      </c>
      <c r="F11">
        <f t="shared" ref="F11" si="9">F10-F$54</f>
        <v>6.9779411764705879</v>
      </c>
      <c r="G11">
        <f t="shared" ref="G11" si="10">G10-G$54</f>
        <v>7.4431372549019601</v>
      </c>
      <c r="H11">
        <f t="shared" ref="H11" si="11">H10-H$54</f>
        <v>8.3735294117647054</v>
      </c>
      <c r="I11">
        <f t="shared" ref="I11" si="12">I10-I$54</f>
        <v>8.9317647058823511</v>
      </c>
      <c r="J11">
        <f t="shared" ref="J11" si="13">J10-J$54</f>
        <v>9.924183006535948</v>
      </c>
      <c r="K11">
        <f t="shared" ref="K11" si="14">K10-K$54</f>
        <v>12.095098039215685</v>
      </c>
      <c r="L11">
        <f t="shared" ref="L11" si="15">L10-L$54</f>
        <v>13.025490196078433</v>
      </c>
      <c r="M11">
        <f t="shared" ref="M11" si="16">M10-M$54</f>
        <v>19.848366013071896</v>
      </c>
    </row>
    <row r="12" spans="1:25" x14ac:dyDescent="0.25">
      <c r="C12" t="s">
        <v>7</v>
      </c>
      <c r="D12">
        <f t="shared" ref="D12:M12" si="17">(($P$1*D9)-D9)/2</f>
        <v>4.2499999999999996E-2</v>
      </c>
      <c r="E12">
        <f t="shared" si="17"/>
        <v>3.7187499999999998E-2</v>
      </c>
      <c r="F12">
        <f t="shared" si="17"/>
        <v>3.4000000000000002E-2</v>
      </c>
      <c r="G12">
        <f t="shared" si="17"/>
        <v>3.1875000000000001E-2</v>
      </c>
      <c r="H12">
        <f t="shared" si="17"/>
        <v>2.8333333333333335E-2</v>
      </c>
      <c r="I12">
        <f t="shared" si="17"/>
        <v>2.6562500000000003E-2</v>
      </c>
      <c r="J12">
        <f t="shared" si="17"/>
        <v>2.3906249999999997E-2</v>
      </c>
      <c r="K12">
        <f t="shared" si="17"/>
        <v>1.9615384615384618E-2</v>
      </c>
      <c r="L12">
        <f t="shared" si="17"/>
        <v>1.8214285714285718E-2</v>
      </c>
      <c r="M12">
        <f t="shared" si="17"/>
        <v>1.1953124999999998E-2</v>
      </c>
    </row>
    <row r="13" spans="1:25" x14ac:dyDescent="0.25">
      <c r="C13" t="s">
        <v>30</v>
      </c>
      <c r="D13">
        <f>ROUNDUP(D9*$P$1,4)+0.002</f>
        <v>0.25700000000000001</v>
      </c>
      <c r="E13">
        <f t="shared" ref="E13:M13" si="18">ROUNDUP(E9*$P$1,4)+0.002</f>
        <v>0.22519999999999998</v>
      </c>
      <c r="F13">
        <f t="shared" si="18"/>
        <v>0.20599999999999999</v>
      </c>
      <c r="G13">
        <f t="shared" si="18"/>
        <v>0.1933</v>
      </c>
      <c r="H13">
        <f t="shared" si="18"/>
        <v>0.17200000000000001</v>
      </c>
      <c r="I13">
        <f t="shared" si="18"/>
        <v>0.16139999999999999</v>
      </c>
      <c r="J13">
        <f t="shared" si="18"/>
        <v>0.14549999999999999</v>
      </c>
      <c r="K13">
        <f t="shared" si="18"/>
        <v>0.1197</v>
      </c>
      <c r="L13">
        <f t="shared" si="18"/>
        <v>0.11130000000000001</v>
      </c>
      <c r="M13">
        <f t="shared" si="18"/>
        <v>7.3800000000000004E-2</v>
      </c>
    </row>
    <row r="14" spans="1:25" x14ac:dyDescent="0.25">
      <c r="C14" t="s">
        <v>31</v>
      </c>
      <c r="D14">
        <f>0.125+(D8*$P$1)</f>
        <v>0.38</v>
      </c>
      <c r="E14">
        <f t="shared" ref="E14:M14" si="19">0.125+(E8*$P$1)</f>
        <v>0.38</v>
      </c>
      <c r="F14">
        <f t="shared" si="19"/>
        <v>0.38</v>
      </c>
      <c r="G14">
        <f t="shared" si="19"/>
        <v>0.38</v>
      </c>
      <c r="H14">
        <f t="shared" si="19"/>
        <v>0.38</v>
      </c>
      <c r="I14">
        <f t="shared" si="19"/>
        <v>0.38</v>
      </c>
      <c r="J14">
        <f t="shared" si="19"/>
        <v>0.38</v>
      </c>
      <c r="K14">
        <f t="shared" si="19"/>
        <v>0.38</v>
      </c>
      <c r="L14">
        <f t="shared" si="19"/>
        <v>0.38</v>
      </c>
      <c r="M14">
        <f t="shared" si="19"/>
        <v>0.38</v>
      </c>
    </row>
    <row r="15" spans="1:25" x14ac:dyDescent="0.25">
      <c r="C15" t="s">
        <v>32</v>
      </c>
      <c r="D15">
        <f>(D8*$P$1)+0.049</f>
        <v>0.30399999999999999</v>
      </c>
      <c r="E15">
        <f t="shared" ref="E15:M15" si="20">(E8*$P$1)+0.049</f>
        <v>0.30399999999999999</v>
      </c>
      <c r="F15">
        <f t="shared" si="20"/>
        <v>0.30399999999999999</v>
      </c>
      <c r="G15">
        <f t="shared" si="20"/>
        <v>0.30399999999999999</v>
      </c>
      <c r="H15">
        <f t="shared" si="20"/>
        <v>0.30399999999999999</v>
      </c>
      <c r="I15">
        <f t="shared" si="20"/>
        <v>0.30399999999999999</v>
      </c>
      <c r="J15">
        <f t="shared" si="20"/>
        <v>0.30399999999999999</v>
      </c>
      <c r="K15">
        <f t="shared" si="20"/>
        <v>0.30399999999999999</v>
      </c>
      <c r="L15">
        <f t="shared" si="20"/>
        <v>0.30399999999999999</v>
      </c>
      <c r="M15">
        <f t="shared" si="20"/>
        <v>0.30399999999999999</v>
      </c>
    </row>
    <row r="16" spans="1:25" x14ac:dyDescent="0.25">
      <c r="C16" t="s">
        <v>33</v>
      </c>
      <c r="D16">
        <f>(D8*$P$1)</f>
        <v>0.255</v>
      </c>
      <c r="E16">
        <f t="shared" ref="E16:M16" si="21">(E8*$P$1)</f>
        <v>0.255</v>
      </c>
      <c r="F16">
        <f t="shared" si="21"/>
        <v>0.255</v>
      </c>
      <c r="G16">
        <f t="shared" si="21"/>
        <v>0.255</v>
      </c>
      <c r="H16">
        <f t="shared" si="21"/>
        <v>0.255</v>
      </c>
      <c r="I16">
        <f t="shared" si="21"/>
        <v>0.255</v>
      </c>
      <c r="J16">
        <f t="shared" si="21"/>
        <v>0.255</v>
      </c>
      <c r="K16">
        <f t="shared" si="21"/>
        <v>0.255</v>
      </c>
      <c r="L16">
        <f t="shared" si="21"/>
        <v>0.255</v>
      </c>
      <c r="M16">
        <f t="shared" si="21"/>
        <v>0.255</v>
      </c>
    </row>
    <row r="17" spans="1:25" x14ac:dyDescent="0.25">
      <c r="C17" t="s">
        <v>34</v>
      </c>
      <c r="D17">
        <f t="shared" ref="D17:M17" si="22">0.25+(0.5*D9)+(D12)+(1-(D11*D9))/(D11-1)</f>
        <v>0.38862965340179717</v>
      </c>
      <c r="E17">
        <f t="shared" si="22"/>
        <v>0.37104235004686031</v>
      </c>
      <c r="F17">
        <f t="shared" si="22"/>
        <v>0.3605313653136531</v>
      </c>
      <c r="G17">
        <f t="shared" si="22"/>
        <v>0.35354039866098597</v>
      </c>
      <c r="H17">
        <f t="shared" si="22"/>
        <v>0.34191663342640599</v>
      </c>
      <c r="I17">
        <f t="shared" si="22"/>
        <v>0.33611734277662414</v>
      </c>
      <c r="J17">
        <f>0.25+(0.5*J9)+(J12)+(1-(J11*J9))/(J11-1)</f>
        <v>0.32743355884722425</v>
      </c>
      <c r="K17">
        <f t="shared" si="22"/>
        <v>0.31344277839329532</v>
      </c>
      <c r="L17">
        <f t="shared" si="22"/>
        <v>0.30888384850108314</v>
      </c>
      <c r="M17">
        <f t="shared" si="22"/>
        <v>0.28856517984083502</v>
      </c>
    </row>
    <row r="19" spans="1:25" x14ac:dyDescent="0.25">
      <c r="A19" s="3" t="s">
        <v>28</v>
      </c>
      <c r="B19" t="s">
        <v>1</v>
      </c>
      <c r="C19" s="1">
        <v>0.19</v>
      </c>
      <c r="D19" s="2">
        <v>1</v>
      </c>
      <c r="E19" s="2">
        <v>8</v>
      </c>
      <c r="F19" s="2">
        <v>5</v>
      </c>
      <c r="G19" s="2">
        <v>4</v>
      </c>
      <c r="H19" s="2">
        <v>3</v>
      </c>
      <c r="I19" s="2">
        <v>16</v>
      </c>
      <c r="J19" s="2">
        <v>16</v>
      </c>
      <c r="K19" s="2">
        <v>19.5</v>
      </c>
      <c r="L19" s="2">
        <v>21</v>
      </c>
      <c r="M19" s="2">
        <v>32</v>
      </c>
      <c r="P19" s="2">
        <v>1</v>
      </c>
      <c r="Q19" s="2">
        <v>8</v>
      </c>
      <c r="R19" s="2">
        <v>5</v>
      </c>
      <c r="S19" s="2">
        <v>4</v>
      </c>
      <c r="T19" s="2">
        <v>3</v>
      </c>
      <c r="U19" s="2">
        <v>16</v>
      </c>
      <c r="V19" s="2">
        <v>16</v>
      </c>
      <c r="W19" s="2">
        <v>19.5</v>
      </c>
      <c r="X19" s="2">
        <v>21</v>
      </c>
      <c r="Y19" s="2">
        <v>32</v>
      </c>
    </row>
    <row r="20" spans="1:25" x14ac:dyDescent="0.25">
      <c r="C20" s="1"/>
      <c r="D20" s="2">
        <v>1</v>
      </c>
      <c r="E20" s="2">
        <v>7</v>
      </c>
      <c r="F20" s="2">
        <v>4</v>
      </c>
      <c r="G20" s="2">
        <v>3</v>
      </c>
      <c r="H20" s="2">
        <v>2</v>
      </c>
      <c r="I20" s="2">
        <v>10</v>
      </c>
      <c r="J20" s="2">
        <v>9</v>
      </c>
      <c r="K20" s="2">
        <v>9</v>
      </c>
      <c r="L20" s="2">
        <v>9</v>
      </c>
      <c r="M20" s="2">
        <v>9</v>
      </c>
      <c r="P20" s="2">
        <v>1</v>
      </c>
      <c r="Q20" s="2">
        <v>7</v>
      </c>
      <c r="R20" s="2">
        <v>4</v>
      </c>
      <c r="S20" s="2">
        <v>3</v>
      </c>
      <c r="T20" s="2">
        <v>2</v>
      </c>
      <c r="U20" s="2">
        <v>10</v>
      </c>
      <c r="V20" s="2">
        <v>9</v>
      </c>
      <c r="W20" s="2">
        <v>9</v>
      </c>
      <c r="X20" s="2">
        <v>9</v>
      </c>
      <c r="Y20" s="2">
        <v>9</v>
      </c>
    </row>
    <row r="21" spans="1:25" x14ac:dyDescent="0.25">
      <c r="C21" s="2" t="s">
        <v>0</v>
      </c>
      <c r="D21" s="2">
        <v>720</v>
      </c>
      <c r="E21">
        <f>E22*E19/E20</f>
        <v>822.85714285714289</v>
      </c>
      <c r="F21" s="2">
        <v>900</v>
      </c>
      <c r="G21" s="2">
        <v>960</v>
      </c>
      <c r="H21" s="2">
        <v>1080</v>
      </c>
      <c r="I21" s="2">
        <v>1152</v>
      </c>
      <c r="J21" s="2">
        <v>1280</v>
      </c>
      <c r="K21" s="2">
        <v>1560</v>
      </c>
      <c r="L21" s="2">
        <v>1680</v>
      </c>
      <c r="M21">
        <f>M22*M19/M20</f>
        <v>2560</v>
      </c>
      <c r="P21" t="str">
        <f>"&lt;itemSizeSysCarousel&gt;"&amp;D25&amp;" "&amp;D24&amp;"&lt;/itemSizeSysCarousel&gt;"</f>
        <v>&lt;itemSizeSysCarousel&gt;0.19 0.19&lt;/itemSizeSysCarousel&gt;</v>
      </c>
      <c r="Q21" t="str">
        <f t="shared" ref="Q21:Y21" si="23">"&lt;itemSizeSysCarousel&gt;"&amp;E25&amp;" "&amp;E24&amp;"&lt;/itemSizeSysCarousel&gt;"</f>
        <v>&lt;itemSizeSysCarousel&gt;0.16625 0.19&lt;/itemSizeSysCarousel&gt;</v>
      </c>
      <c r="R21" t="str">
        <f t="shared" si="23"/>
        <v>&lt;itemSizeSysCarousel&gt;0.152 0.19&lt;/itemSizeSysCarousel&gt;</v>
      </c>
      <c r="S21" t="str">
        <f t="shared" si="23"/>
        <v>&lt;itemSizeSysCarousel&gt;0.1425 0.19&lt;/itemSizeSysCarousel&gt;</v>
      </c>
      <c r="T21" t="str">
        <f t="shared" si="23"/>
        <v>&lt;itemSizeSysCarousel&gt;0.126666666666667 0.19&lt;/itemSizeSysCarousel&gt;</v>
      </c>
      <c r="U21" t="str">
        <f t="shared" si="23"/>
        <v>&lt;itemSizeSysCarousel&gt;0.11875 0.19&lt;/itemSizeSysCarousel&gt;</v>
      </c>
      <c r="V21" t="str">
        <f t="shared" si="23"/>
        <v>&lt;itemSizeSysCarousel&gt;0.106875 0.19&lt;/itemSizeSysCarousel&gt;</v>
      </c>
      <c r="W21" t="str">
        <f t="shared" si="23"/>
        <v>&lt;itemSizeSysCarousel&gt;0.0876923076923077 0.19&lt;/itemSizeSysCarousel&gt;</v>
      </c>
      <c r="X21" t="str">
        <f t="shared" si="23"/>
        <v>&lt;itemSizeSysCarousel&gt;0.0814285714285714 0.19&lt;/itemSizeSysCarousel&gt;</v>
      </c>
      <c r="Y21" t="str">
        <f t="shared" si="23"/>
        <v>&lt;itemSizeSysCarousel&gt;0.0534375 0.19&lt;/itemSizeSysCarousel&gt;</v>
      </c>
    </row>
    <row r="22" spans="1:25" x14ac:dyDescent="0.25">
      <c r="C22" s="2" t="s">
        <v>1</v>
      </c>
      <c r="D22" s="2">
        <v>720</v>
      </c>
      <c r="E22" s="2">
        <v>720</v>
      </c>
      <c r="F22" s="2">
        <v>720</v>
      </c>
      <c r="G22" s="2">
        <v>720</v>
      </c>
      <c r="H22" s="2">
        <v>720</v>
      </c>
      <c r="I22" s="2">
        <v>720</v>
      </c>
      <c r="J22" s="2">
        <v>720</v>
      </c>
      <c r="K22" s="2">
        <v>720</v>
      </c>
      <c r="L22" s="2">
        <v>720</v>
      </c>
      <c r="M22" s="2">
        <v>720</v>
      </c>
      <c r="P22" t="str">
        <f>"&lt;selectedItemMarginsSysCarousel&gt;"&amp;D28&amp;" "&amp;D28&amp;"&lt;/selectedItemMarginsSysCarousel&gt;"</f>
        <v>&lt;selectedItemMarginsSysCarousel&gt;0.0475 0.0475&lt;/selectedItemMarginsSysCarousel&gt;</v>
      </c>
      <c r="Q22" t="str">
        <f t="shared" ref="Q22" si="24">"&lt;selectedItemMarginsSysCarousel&gt;"&amp;E28&amp;" "&amp;E28&amp;"&lt;/selectedItemMarginsSysCarousel&gt;"</f>
        <v>&lt;selectedItemMarginsSysCarousel&gt;0.0415625 0.0415625&lt;/selectedItemMarginsSysCarousel&gt;</v>
      </c>
      <c r="R22" t="str">
        <f t="shared" ref="R22" si="25">"&lt;selectedItemMarginsSysCarousel&gt;"&amp;F28&amp;" "&amp;F28&amp;"&lt;/selectedItemMarginsSysCarousel&gt;"</f>
        <v>&lt;selectedItemMarginsSysCarousel&gt;0.038 0.038&lt;/selectedItemMarginsSysCarousel&gt;</v>
      </c>
      <c r="S22" t="str">
        <f t="shared" ref="S22" si="26">"&lt;selectedItemMarginsSysCarousel&gt;"&amp;G28&amp;" "&amp;G28&amp;"&lt;/selectedItemMarginsSysCarousel&gt;"</f>
        <v>&lt;selectedItemMarginsSysCarousel&gt;0.035625 0.035625&lt;/selectedItemMarginsSysCarousel&gt;</v>
      </c>
      <c r="T22" t="str">
        <f t="shared" ref="T22" si="27">"&lt;selectedItemMarginsSysCarousel&gt;"&amp;H28&amp;" "&amp;H28&amp;"&lt;/selectedItemMarginsSysCarousel&gt;"</f>
        <v>&lt;selectedItemMarginsSysCarousel&gt;0.0316666666666667 0.0316666666666667&lt;/selectedItemMarginsSysCarousel&gt;</v>
      </c>
      <c r="U22" t="str">
        <f t="shared" ref="U22" si="28">"&lt;selectedItemMarginsSysCarousel&gt;"&amp;I28&amp;" "&amp;I28&amp;"&lt;/selectedItemMarginsSysCarousel&gt;"</f>
        <v>&lt;selectedItemMarginsSysCarousel&gt;0.0296875 0.0296875&lt;/selectedItemMarginsSysCarousel&gt;</v>
      </c>
      <c r="V22" t="str">
        <f t="shared" ref="V22" si="29">"&lt;selectedItemMarginsSysCarousel&gt;"&amp;J28&amp;" "&amp;J28&amp;"&lt;/selectedItemMarginsSysCarousel&gt;"</f>
        <v>&lt;selectedItemMarginsSysCarousel&gt;0.02671875 0.02671875&lt;/selectedItemMarginsSysCarousel&gt;</v>
      </c>
      <c r="W22" t="str">
        <f t="shared" ref="W22" si="30">"&lt;selectedItemMarginsSysCarousel&gt;"&amp;K28&amp;" "&amp;K28&amp;"&lt;/selectedItemMarginsSysCarousel&gt;"</f>
        <v>&lt;selectedItemMarginsSysCarousel&gt;0.0219230769230769 0.0219230769230769&lt;/selectedItemMarginsSysCarousel&gt;</v>
      </c>
      <c r="X22" t="str">
        <f t="shared" ref="X22" si="31">"&lt;selectedItemMarginsSysCarousel&gt;"&amp;L28&amp;" "&amp;L28&amp;"&lt;/selectedItemMarginsSysCarousel&gt;"</f>
        <v>&lt;selectedItemMarginsSysCarousel&gt;0.0203571428571429 0.0203571428571429&lt;/selectedItemMarginsSysCarousel&gt;</v>
      </c>
      <c r="Y22" t="str">
        <f t="shared" ref="Y22" si="32">"&lt;selectedItemMarginsSysCarousel&gt;"&amp;M28&amp;" "&amp;M28&amp;"&lt;/selectedItemMarginsSysCarousel&gt;"</f>
        <v>&lt;selectedItemMarginsSysCarousel&gt;0.013359375 0.013359375&lt;/selectedItemMarginsSysCarousel&gt;</v>
      </c>
    </row>
    <row r="23" spans="1:25" x14ac:dyDescent="0.25">
      <c r="P23" t="str">
        <f>"&lt;maxItemCountSysCarousel&gt;"&amp;D27&amp;"&lt;/maxItemCountSysCarousel&gt;"</f>
        <v>&lt;maxItemCountSysCarousel&gt;4.96315789473684&lt;/maxItemCountSysCarousel&gt;</v>
      </c>
      <c r="Q23" t="str">
        <f t="shared" ref="Q23" si="33">"&lt;maxItemCountSysCarousel&gt;"&amp;E27&amp;"&lt;/maxItemCountSysCarousel&gt;"</f>
        <v>&lt;maxItemCountSysCarousel&gt;5.67218045112782&lt;/maxItemCountSysCarousel&gt;</v>
      </c>
      <c r="R23" t="str">
        <f t="shared" ref="R23" si="34">"&lt;maxItemCountSysCarousel&gt;"&amp;F27&amp;"&lt;/maxItemCountSysCarousel&gt;"</f>
        <v>&lt;maxItemCountSysCarousel&gt;6.20394736842105&lt;/maxItemCountSysCarousel&gt;</v>
      </c>
      <c r="S23" t="str">
        <f t="shared" ref="S23" si="35">"&lt;maxItemCountSysCarousel&gt;"&amp;G27&amp;"&lt;/maxItemCountSysCarousel&gt;"</f>
        <v>&lt;maxItemCountSysCarousel&gt;6.61754385964912&lt;/maxItemCountSysCarousel&gt;</v>
      </c>
      <c r="T23" t="str">
        <f t="shared" ref="T23" si="36">"&lt;maxItemCountSysCarousel&gt;"&amp;H27&amp;"&lt;/maxItemCountSysCarousel&gt;"</f>
        <v>&lt;maxItemCountSysCarousel&gt;7.44473684210526&lt;/maxItemCountSysCarousel&gt;</v>
      </c>
      <c r="U23" t="str">
        <f t="shared" ref="U23" si="37">"&lt;maxItemCountSysCarousel&gt;"&amp;I27&amp;"&lt;/maxItemCountSysCarousel&gt;"</f>
        <v>&lt;maxItemCountSysCarousel&gt;7.94105263157895&lt;/maxItemCountSysCarousel&gt;</v>
      </c>
      <c r="V23" t="str">
        <f t="shared" ref="V23" si="38">"&lt;maxItemCountSysCarousel&gt;"&amp;J27&amp;"&lt;/maxItemCountSysCarousel&gt;"</f>
        <v>&lt;maxItemCountSysCarousel&gt;8.8233918128655&lt;/maxItemCountSysCarousel&gt;</v>
      </c>
      <c r="W23" t="str">
        <f t="shared" ref="W23" si="39">"&lt;maxItemCountSysCarousel&gt;"&amp;K27&amp;"&lt;/maxItemCountSysCarousel&gt;"</f>
        <v>&lt;maxItemCountSysCarousel&gt;10.7535087719298&lt;/maxItemCountSysCarousel&gt;</v>
      </c>
      <c r="X23" t="str">
        <f t="shared" ref="X23" si="40">"&lt;maxItemCountSysCarousel&gt;"&amp;L27&amp;"&lt;/maxItemCountSysCarousel&gt;"</f>
        <v>&lt;maxItemCountSysCarousel&gt;11.580701754386&lt;/maxItemCountSysCarousel&gt;</v>
      </c>
      <c r="Y23" t="str">
        <f t="shared" ref="Y23" si="41">"&lt;maxItemCountSysCarousel&gt;"&amp;M27&amp;"&lt;/maxItemCountSysCarousel&gt;"</f>
        <v>&lt;maxItemCountSysCarousel&gt;17.646783625731&lt;/maxItemCountSysCarousel&gt;</v>
      </c>
    </row>
    <row r="24" spans="1:25" x14ac:dyDescent="0.25">
      <c r="C24" t="s">
        <v>2</v>
      </c>
      <c r="D24">
        <f>$C$19</f>
        <v>0.19</v>
      </c>
      <c r="E24">
        <f t="shared" ref="E24:M24" si="42">$C$19</f>
        <v>0.19</v>
      </c>
      <c r="F24">
        <f t="shared" si="42"/>
        <v>0.19</v>
      </c>
      <c r="G24">
        <f t="shared" si="42"/>
        <v>0.19</v>
      </c>
      <c r="H24">
        <f t="shared" si="42"/>
        <v>0.19</v>
      </c>
      <c r="I24">
        <f t="shared" si="42"/>
        <v>0.19</v>
      </c>
      <c r="J24">
        <f t="shared" si="42"/>
        <v>0.19</v>
      </c>
      <c r="K24">
        <f t="shared" si="42"/>
        <v>0.19</v>
      </c>
      <c r="L24">
        <f t="shared" si="42"/>
        <v>0.19</v>
      </c>
      <c r="M24">
        <f t="shared" si="42"/>
        <v>0.19</v>
      </c>
      <c r="P24" t="str">
        <f>"&lt;selectorXSizeSysCarousel&gt;"&amp;D29&amp;"&lt;/selectorXSizeSysCarousel&gt;"</f>
        <v>&lt;selectorXSizeSysCarousel&gt;0.287&lt;/selectorXSizeSysCarousel&gt;</v>
      </c>
      <c r="Q24" t="str">
        <f t="shared" ref="Q24" si="43">"&lt;selectorXSizeSysCarousel&gt;"&amp;E29&amp;"&lt;/selectorXSizeSysCarousel&gt;"</f>
        <v>&lt;selectorXSizeSysCarousel&gt;0.2514&lt;/selectorXSizeSysCarousel&gt;</v>
      </c>
      <c r="R24" t="str">
        <f t="shared" ref="R24" si="44">"&lt;selectorXSizeSysCarousel&gt;"&amp;F29&amp;"&lt;/selectorXSizeSysCarousel&gt;"</f>
        <v>&lt;selectorXSizeSysCarousel&gt;0.23&lt;/selectorXSizeSysCarousel&gt;</v>
      </c>
      <c r="S24" t="str">
        <f t="shared" ref="S24" si="45">"&lt;selectorXSizeSysCarousel&gt;"&amp;G29&amp;"&lt;/selectorXSizeSysCarousel&gt;"</f>
        <v>&lt;selectorXSizeSysCarousel&gt;0.2158&lt;/selectorXSizeSysCarousel&gt;</v>
      </c>
      <c r="T24" t="str">
        <f t="shared" ref="T24" si="46">"&lt;selectorXSizeSysCarousel&gt;"&amp;H29&amp;"&lt;/selectorXSizeSysCarousel&gt;"</f>
        <v>&lt;selectorXSizeSysCarousel&gt;0.192&lt;/selectorXSizeSysCarousel&gt;</v>
      </c>
      <c r="U24" t="str">
        <f t="shared" ref="U24" si="47">"&lt;selectorXSizeSysCarousel&gt;"&amp;I29&amp;"&lt;/selectorXSizeSysCarousel&gt;"</f>
        <v>&lt;selectorXSizeSysCarousel&gt;0.1802&lt;/selectorXSizeSysCarousel&gt;</v>
      </c>
      <c r="V24" t="str">
        <f t="shared" ref="V24" si="48">"&lt;selectorXSizeSysCarousel&gt;"&amp;J29&amp;"&lt;/selectorXSizeSysCarousel&gt;"</f>
        <v>&lt;selectorXSizeSysCarousel&gt;0.1624&lt;/selectorXSizeSysCarousel&gt;</v>
      </c>
      <c r="W24" t="str">
        <f t="shared" ref="W24" si="49">"&lt;selectorXSizeSysCarousel&gt;"&amp;K29&amp;"&lt;/selectorXSizeSysCarousel&gt;"</f>
        <v>&lt;selectorXSizeSysCarousel&gt;0.1336&lt;/selectorXSizeSysCarousel&gt;</v>
      </c>
      <c r="X24" t="str">
        <f t="shared" ref="X24" si="50">"&lt;selectorXSizeSysCarousel&gt;"&amp;L29&amp;"&lt;/selectorXSizeSysCarousel&gt;"</f>
        <v>&lt;selectorXSizeSysCarousel&gt;0.1242&lt;/selectorXSizeSysCarousel&gt;</v>
      </c>
      <c r="Y24" t="str">
        <f t="shared" ref="Y24" si="51">"&lt;selectorXSizeSysCarousel&gt;"&amp;M29&amp;"&lt;/selectorXSizeSysCarousel&gt;"</f>
        <v>&lt;selectorXSizeSysCarousel&gt;0.0822&lt;/selectorXSizeSysCarousel&gt;</v>
      </c>
    </row>
    <row r="25" spans="1:25" x14ac:dyDescent="0.25">
      <c r="C25" t="s">
        <v>3</v>
      </c>
      <c r="D25">
        <f>D24*D22/D21</f>
        <v>0.19</v>
      </c>
      <c r="E25">
        <f t="shared" ref="E25" si="52">E24*E22/E21</f>
        <v>0.16625000000000001</v>
      </c>
      <c r="F25">
        <f t="shared" ref="F25" si="53">F24*F22/F21</f>
        <v>0.15200000000000002</v>
      </c>
      <c r="G25">
        <f t="shared" ref="G25" si="54">G24*G22/G21</f>
        <v>0.14250000000000002</v>
      </c>
      <c r="H25">
        <f t="shared" ref="H25" si="55">H24*H22/H21</f>
        <v>0.12666666666666668</v>
      </c>
      <c r="I25">
        <f t="shared" ref="I25" si="56">I24*I22/I21</f>
        <v>0.11875000000000001</v>
      </c>
      <c r="J25">
        <f t="shared" ref="J25" si="57">J24*J22/J21</f>
        <v>0.10687500000000001</v>
      </c>
      <c r="K25">
        <f t="shared" ref="K25" si="58">K24*K22/K21</f>
        <v>8.7692307692307694E-2</v>
      </c>
      <c r="L25">
        <f t="shared" ref="L25" si="59">L24*L22/L21</f>
        <v>8.1428571428571433E-2</v>
      </c>
      <c r="M25">
        <f t="shared" ref="M25" si="60">M24*M22/M21</f>
        <v>5.3437500000000006E-2</v>
      </c>
      <c r="P25" t="str">
        <f>"&lt;sysNameXPos&gt;"&amp;D33&amp;"&lt;/sysNameXPos&gt;"</f>
        <v>&lt;sysNameXPos&gt;0.406882470119522&lt;/sysNameXPos&gt;</v>
      </c>
      <c r="Q25" t="str">
        <f t="shared" ref="Q25" si="61">"&lt;sysNameXPos&gt;"&amp;E33&amp;"&lt;/sysNameXPos&gt;"</f>
        <v>&lt;sysNameXPos&gt;0.386887371258449&lt;/sysNameXPos&gt;</v>
      </c>
      <c r="R25" t="str">
        <f t="shared" ref="R25" si="62">"&lt;sysNameXPos&gt;"&amp;F33&amp;"&lt;/sysNameXPos&gt;"</f>
        <v>&lt;sysNameXPos&gt;0.374953223767383&lt;/sysNameXPos&gt;</v>
      </c>
      <c r="S25" t="str">
        <f t="shared" ref="S25" si="63">"&lt;sysNameXPos&gt;"&amp;G33&amp;"&lt;/sysNameXPos&gt;"</f>
        <v>&lt;sysNameXPos&gt;0.367021783260462&lt;/sysNameXPos&gt;</v>
      </c>
      <c r="T25" t="str">
        <f t="shared" ref="T25" si="64">"&lt;sysNameXPos&gt;"&amp;H33&amp;"&lt;/sysNameXPos&gt;"</f>
        <v>&lt;sysNameXPos&gt;0.353844426296448&lt;/sysNameXPos&gt;</v>
      </c>
      <c r="U25" t="str">
        <f t="shared" ref="U25" si="65">"&lt;sysNameXPos&gt;"&amp;I33&amp;"&lt;/sysNameXPos&gt;"</f>
        <v>&lt;sysNameXPos&gt;0.347274510919017&lt;/sysNameXPos&gt;</v>
      </c>
      <c r="V25" t="str">
        <f t="shared" ref="V25" si="66">"&lt;sysNameXPos&gt;"&amp;J33&amp;"&lt;/sysNameXPos&gt;"</f>
        <v>&lt;sysNameXPos&gt;0.337442092427867&lt;/sysNameXPos&gt;</v>
      </c>
      <c r="W25" t="str">
        <f t="shared" ref="W25" si="67">"&lt;sysNameXPos&gt;"&amp;K33&amp;"&lt;/sysNameXPos&gt;"</f>
        <v>&lt;sysNameXPos&gt;0.321613281493217&lt;/sysNameXPos&gt;</v>
      </c>
      <c r="X25" t="str">
        <f t="shared" ref="X25" si="68">"&lt;sysNameXPos&gt;"&amp;L33&amp;"&lt;/sysNameXPos&gt;"</f>
        <v>&lt;sysNameXPos&gt;0.31645859487884&lt;/sysNameXPos&gt;</v>
      </c>
      <c r="Y25" t="str">
        <f t="shared" ref="Y25" si="69">"&lt;sysNameXPos&gt;"&amp;M33&amp;"&lt;/sysNameXPos&gt;"</f>
        <v>&lt;sysNameXPos&gt;0.293502209873182&lt;/sysNameXPos&gt;</v>
      </c>
    </row>
    <row r="26" spans="1:25" x14ac:dyDescent="0.25">
      <c r="C26" t="s">
        <v>4</v>
      </c>
      <c r="D26">
        <f>1/D25</f>
        <v>5.2631578947368425</v>
      </c>
      <c r="E26">
        <f t="shared" ref="E26" si="70">1/E25</f>
        <v>6.0150375939849621</v>
      </c>
      <c r="F26">
        <f t="shared" ref="F26" si="71">1/F25</f>
        <v>6.5789473684210513</v>
      </c>
      <c r="G26">
        <f t="shared" ref="G26" si="72">1/G25</f>
        <v>7.0175438596491224</v>
      </c>
      <c r="H26">
        <f t="shared" ref="H26" si="73">1/H25</f>
        <v>7.8947368421052628</v>
      </c>
      <c r="I26">
        <f t="shared" ref="I26" si="74">1/I25</f>
        <v>8.4210526315789469</v>
      </c>
      <c r="J26">
        <f>1/J25</f>
        <v>9.3567251461988299</v>
      </c>
      <c r="K26">
        <f t="shared" ref="K26" si="75">1/K25</f>
        <v>11.403508771929824</v>
      </c>
      <c r="L26">
        <f t="shared" ref="L26" si="76">1/L25</f>
        <v>12.280701754385964</v>
      </c>
      <c r="M26">
        <f t="shared" ref="M26" si="77">1/M25</f>
        <v>18.71345029239766</v>
      </c>
    </row>
    <row r="27" spans="1:25" x14ac:dyDescent="0.25">
      <c r="C27" t="s">
        <v>5</v>
      </c>
      <c r="D27">
        <f>D26-D$54</f>
        <v>4.9631578947368427</v>
      </c>
      <c r="E27">
        <f t="shared" ref="E27" si="78">E26-E$54</f>
        <v>5.6721804511278195</v>
      </c>
      <c r="F27">
        <f t="shared" ref="F27" si="79">F26-F$54</f>
        <v>6.2039473684210513</v>
      </c>
      <c r="G27">
        <f t="shared" ref="G27" si="80">G26-G$54</f>
        <v>6.6175438596491221</v>
      </c>
      <c r="H27">
        <f t="shared" ref="H27" si="81">H26-H$54</f>
        <v>7.4447368421052627</v>
      </c>
      <c r="I27">
        <f t="shared" ref="I27" si="82">I26-I$54</f>
        <v>7.9410526315789465</v>
      </c>
      <c r="J27">
        <f t="shared" ref="J27" si="83">J26-J$54</f>
        <v>8.8233918128654967</v>
      </c>
      <c r="K27">
        <f t="shared" ref="K27" si="84">K26-K$54</f>
        <v>10.753508771929823</v>
      </c>
      <c r="L27">
        <f t="shared" ref="L27" si="85">L26-L$54</f>
        <v>11.580701754385965</v>
      </c>
      <c r="M27">
        <f t="shared" ref="M27" si="86">M26-M$54</f>
        <v>17.646783625730993</v>
      </c>
    </row>
    <row r="28" spans="1:25" x14ac:dyDescent="0.25">
      <c r="C28" t="s">
        <v>7</v>
      </c>
      <c r="D28">
        <f t="shared" ref="D28:I28" si="87">(($P$1*D25)-D25)/2</f>
        <v>4.7500000000000014E-2</v>
      </c>
      <c r="E28">
        <f t="shared" si="87"/>
        <v>4.1562500000000002E-2</v>
      </c>
      <c r="F28">
        <f t="shared" si="87"/>
        <v>3.8000000000000006E-2</v>
      </c>
      <c r="G28">
        <f t="shared" si="87"/>
        <v>3.5625000000000004E-2</v>
      </c>
      <c r="H28">
        <f t="shared" si="87"/>
        <v>3.1666666666666662E-2</v>
      </c>
      <c r="I28">
        <f t="shared" si="87"/>
        <v>2.9687499999999999E-2</v>
      </c>
      <c r="J28">
        <f>(($P$1*J25)-J25)/2</f>
        <v>2.6718750000000006E-2</v>
      </c>
      <c r="K28">
        <f t="shared" ref="K28:M28" si="88">(($P$1*K25)-K25)/2</f>
        <v>2.1923076923076927E-2</v>
      </c>
      <c r="L28">
        <f t="shared" si="88"/>
        <v>2.0357142857142858E-2</v>
      </c>
      <c r="M28">
        <f t="shared" si="88"/>
        <v>1.3359375000000003E-2</v>
      </c>
    </row>
    <row r="29" spans="1:25" x14ac:dyDescent="0.25">
      <c r="C29" t="s">
        <v>30</v>
      </c>
      <c r="D29">
        <f>ROUNDUP(D25*$P$1,4)+0.002</f>
        <v>0.28699999999999998</v>
      </c>
      <c r="E29">
        <f t="shared" ref="E29:M29" si="89">ROUNDUP(E25*$P$1,4)+0.002</f>
        <v>0.25139999999999996</v>
      </c>
      <c r="F29">
        <f t="shared" si="89"/>
        <v>0.23</v>
      </c>
      <c r="G29">
        <f t="shared" si="89"/>
        <v>0.21579999999999999</v>
      </c>
      <c r="H29">
        <f t="shared" si="89"/>
        <v>0.192</v>
      </c>
      <c r="I29">
        <f t="shared" si="89"/>
        <v>0.1802</v>
      </c>
      <c r="J29">
        <f t="shared" si="89"/>
        <v>0.16239999999999999</v>
      </c>
      <c r="K29">
        <f t="shared" si="89"/>
        <v>0.1336</v>
      </c>
      <c r="L29">
        <f t="shared" si="89"/>
        <v>0.1242</v>
      </c>
      <c r="M29">
        <f t="shared" si="89"/>
        <v>8.2200000000000009E-2</v>
      </c>
    </row>
    <row r="30" spans="1:25" x14ac:dyDescent="0.25">
      <c r="C30" t="s">
        <v>31</v>
      </c>
      <c r="D30">
        <f>0.125+(D24*$P$1)</f>
        <v>0.41000000000000003</v>
      </c>
      <c r="E30">
        <f t="shared" ref="E30:M30" si="90">0.125+(E24*$P$1)</f>
        <v>0.41000000000000003</v>
      </c>
      <c r="F30">
        <f t="shared" si="90"/>
        <v>0.41000000000000003</v>
      </c>
      <c r="G30">
        <f t="shared" si="90"/>
        <v>0.41000000000000003</v>
      </c>
      <c r="H30">
        <f t="shared" si="90"/>
        <v>0.41000000000000003</v>
      </c>
      <c r="I30">
        <f t="shared" si="90"/>
        <v>0.41000000000000003</v>
      </c>
      <c r="J30">
        <f t="shared" si="90"/>
        <v>0.41000000000000003</v>
      </c>
      <c r="K30">
        <f t="shared" si="90"/>
        <v>0.41000000000000003</v>
      </c>
      <c r="L30">
        <f t="shared" si="90"/>
        <v>0.41000000000000003</v>
      </c>
      <c r="M30">
        <f t="shared" si="90"/>
        <v>0.41000000000000003</v>
      </c>
    </row>
    <row r="31" spans="1:25" x14ac:dyDescent="0.25">
      <c r="C31" t="s">
        <v>32</v>
      </c>
      <c r="D31">
        <f>(D24*$P$1)+0.049</f>
        <v>0.33400000000000002</v>
      </c>
      <c r="E31">
        <f t="shared" ref="E31:M31" si="91">(E24*$P$1)+0.049</f>
        <v>0.33400000000000002</v>
      </c>
      <c r="F31">
        <f t="shared" si="91"/>
        <v>0.33400000000000002</v>
      </c>
      <c r="G31">
        <f t="shared" si="91"/>
        <v>0.33400000000000002</v>
      </c>
      <c r="H31">
        <f t="shared" si="91"/>
        <v>0.33400000000000002</v>
      </c>
      <c r="I31">
        <f t="shared" si="91"/>
        <v>0.33400000000000002</v>
      </c>
      <c r="J31">
        <f t="shared" si="91"/>
        <v>0.33400000000000002</v>
      </c>
      <c r="K31">
        <f t="shared" si="91"/>
        <v>0.33400000000000002</v>
      </c>
      <c r="L31">
        <f t="shared" si="91"/>
        <v>0.33400000000000002</v>
      </c>
      <c r="M31">
        <f t="shared" si="91"/>
        <v>0.33400000000000002</v>
      </c>
    </row>
    <row r="32" spans="1:25" x14ac:dyDescent="0.25">
      <c r="C32" t="s">
        <v>33</v>
      </c>
      <c r="D32">
        <f>(D24*$P$1)</f>
        <v>0.28500000000000003</v>
      </c>
      <c r="E32">
        <f t="shared" ref="E32:M32" si="92">(E24*$P$1)</f>
        <v>0.28500000000000003</v>
      </c>
      <c r="F32">
        <f t="shared" si="92"/>
        <v>0.28500000000000003</v>
      </c>
      <c r="G32">
        <f t="shared" si="92"/>
        <v>0.28500000000000003</v>
      </c>
      <c r="H32">
        <f t="shared" si="92"/>
        <v>0.28500000000000003</v>
      </c>
      <c r="I32">
        <f t="shared" si="92"/>
        <v>0.28500000000000003</v>
      </c>
      <c r="J32">
        <f t="shared" si="92"/>
        <v>0.28500000000000003</v>
      </c>
      <c r="K32">
        <f t="shared" si="92"/>
        <v>0.28500000000000003</v>
      </c>
      <c r="L32">
        <f t="shared" si="92"/>
        <v>0.28500000000000003</v>
      </c>
      <c r="M32">
        <f t="shared" si="92"/>
        <v>0.28500000000000003</v>
      </c>
    </row>
    <row r="33" spans="1:25" x14ac:dyDescent="0.25">
      <c r="C33" t="s">
        <v>34</v>
      </c>
      <c r="D33">
        <f t="shared" ref="D33:M33" si="93">0.25+(0.5*D25)+(D28)+(1-(D27*D25))/(D27-1)</f>
        <v>0.40688247011952183</v>
      </c>
      <c r="E33">
        <f t="shared" si="93"/>
        <v>0.38688737125844863</v>
      </c>
      <c r="F33">
        <f t="shared" si="93"/>
        <v>0.37495322376738305</v>
      </c>
      <c r="G33">
        <f t="shared" si="93"/>
        <v>0.36702178326046225</v>
      </c>
      <c r="H33">
        <f t="shared" si="93"/>
        <v>0.35384442629644752</v>
      </c>
      <c r="I33">
        <f t="shared" si="93"/>
        <v>0.34727451091901729</v>
      </c>
      <c r="J33">
        <f>0.25+(0.5*J25)+(J28)+(1-(J27*J25))/(J27-1)</f>
        <v>0.33744209242786666</v>
      </c>
      <c r="K33">
        <f t="shared" si="93"/>
        <v>0.32161328149321677</v>
      </c>
      <c r="L33">
        <f t="shared" si="93"/>
        <v>0.31645859487884026</v>
      </c>
      <c r="M33">
        <f t="shared" si="93"/>
        <v>0.29350220987318204</v>
      </c>
    </row>
    <row r="35" spans="1:25" x14ac:dyDescent="0.25">
      <c r="A35" s="3" t="s">
        <v>29</v>
      </c>
      <c r="B35" t="s">
        <v>1</v>
      </c>
      <c r="C35" s="1">
        <v>0.21</v>
      </c>
      <c r="D35" s="2">
        <v>1</v>
      </c>
      <c r="E35" s="2">
        <v>8</v>
      </c>
      <c r="F35" s="2">
        <v>5</v>
      </c>
      <c r="G35" s="2">
        <v>4</v>
      </c>
      <c r="H35" s="2">
        <v>3</v>
      </c>
      <c r="I35" s="2">
        <v>16</v>
      </c>
      <c r="J35" s="2">
        <v>16</v>
      </c>
      <c r="K35" s="2">
        <v>19.5</v>
      </c>
      <c r="L35" s="2">
        <v>21</v>
      </c>
      <c r="M35" s="2">
        <v>32</v>
      </c>
      <c r="P35" s="2">
        <v>1</v>
      </c>
      <c r="Q35" s="2">
        <v>8</v>
      </c>
      <c r="R35" s="2">
        <v>5</v>
      </c>
      <c r="S35" s="2">
        <v>4</v>
      </c>
      <c r="T35" s="2">
        <v>3</v>
      </c>
      <c r="U35" s="2">
        <v>16</v>
      </c>
      <c r="V35" s="2">
        <v>16</v>
      </c>
      <c r="W35" s="2">
        <v>19.5</v>
      </c>
      <c r="X35" s="2">
        <v>21</v>
      </c>
      <c r="Y35" s="2">
        <v>32</v>
      </c>
    </row>
    <row r="36" spans="1:25" x14ac:dyDescent="0.25">
      <c r="C36" s="1"/>
      <c r="D36" s="2">
        <v>1</v>
      </c>
      <c r="E36" s="2">
        <v>7</v>
      </c>
      <c r="F36" s="2">
        <v>4</v>
      </c>
      <c r="G36" s="2">
        <v>3</v>
      </c>
      <c r="H36" s="2">
        <v>2</v>
      </c>
      <c r="I36" s="2">
        <v>10</v>
      </c>
      <c r="J36" s="2">
        <v>9</v>
      </c>
      <c r="K36" s="2">
        <v>9</v>
      </c>
      <c r="L36" s="2">
        <v>9</v>
      </c>
      <c r="M36" s="2">
        <v>9</v>
      </c>
      <c r="P36" s="2">
        <v>1</v>
      </c>
      <c r="Q36" s="2">
        <v>7</v>
      </c>
      <c r="R36" s="2">
        <v>4</v>
      </c>
      <c r="S36" s="2">
        <v>3</v>
      </c>
      <c r="T36" s="2">
        <v>2</v>
      </c>
      <c r="U36" s="2">
        <v>10</v>
      </c>
      <c r="V36" s="2">
        <v>9</v>
      </c>
      <c r="W36" s="2">
        <v>9</v>
      </c>
      <c r="X36" s="2">
        <v>9</v>
      </c>
      <c r="Y36" s="2">
        <v>9</v>
      </c>
    </row>
    <row r="37" spans="1:25" x14ac:dyDescent="0.25">
      <c r="C37" s="2" t="s">
        <v>0</v>
      </c>
      <c r="D37" s="2">
        <v>720</v>
      </c>
      <c r="E37">
        <f>E38*E35/E36</f>
        <v>822.85714285714289</v>
      </c>
      <c r="F37" s="2">
        <v>900</v>
      </c>
      <c r="G37" s="2">
        <v>960</v>
      </c>
      <c r="H37" s="2">
        <v>1080</v>
      </c>
      <c r="I37" s="2">
        <v>1152</v>
      </c>
      <c r="J37" s="2">
        <v>1280</v>
      </c>
      <c r="K37" s="2">
        <v>1560</v>
      </c>
      <c r="L37" s="2">
        <v>1680</v>
      </c>
      <c r="M37">
        <f>M38*M35/M36</f>
        <v>2560</v>
      </c>
      <c r="P37" t="str">
        <f>"&lt;itemSizeSysCarousel&gt;"&amp;D41&amp;" "&amp;D40&amp;"&lt;/itemSizeSysCarousel&gt;"</f>
        <v>&lt;itemSizeSysCarousel&gt;0.21 0.21&lt;/itemSizeSysCarousel&gt;</v>
      </c>
      <c r="Q37" t="str">
        <f t="shared" ref="Q37:Y37" si="94">"&lt;itemSizeSysCarousel&gt;"&amp;E41&amp;" "&amp;E40&amp;"&lt;/itemSizeSysCarousel&gt;"</f>
        <v>&lt;itemSizeSysCarousel&gt;0.18375 0.21&lt;/itemSizeSysCarousel&gt;</v>
      </c>
      <c r="R37" t="str">
        <f t="shared" si="94"/>
        <v>&lt;itemSizeSysCarousel&gt;0.168 0.21&lt;/itemSizeSysCarousel&gt;</v>
      </c>
      <c r="S37" t="str">
        <f t="shared" si="94"/>
        <v>&lt;itemSizeSysCarousel&gt;0.1575 0.21&lt;/itemSizeSysCarousel&gt;</v>
      </c>
      <c r="T37" t="str">
        <f t="shared" si="94"/>
        <v>&lt;itemSizeSysCarousel&gt;0.14 0.21&lt;/itemSizeSysCarousel&gt;</v>
      </c>
      <c r="U37" t="str">
        <f t="shared" si="94"/>
        <v>&lt;itemSizeSysCarousel&gt;0.13125 0.21&lt;/itemSizeSysCarousel&gt;</v>
      </c>
      <c r="V37" t="str">
        <f t="shared" si="94"/>
        <v>&lt;itemSizeSysCarousel&gt;0.118125 0.21&lt;/itemSizeSysCarousel&gt;</v>
      </c>
      <c r="W37" t="str">
        <f t="shared" si="94"/>
        <v>&lt;itemSizeSysCarousel&gt;0.0969230769230769 0.21&lt;/itemSizeSysCarousel&gt;</v>
      </c>
      <c r="X37" t="str">
        <f t="shared" si="94"/>
        <v>&lt;itemSizeSysCarousel&gt;0.09 0.21&lt;/itemSizeSysCarousel&gt;</v>
      </c>
      <c r="Y37" t="str">
        <f t="shared" si="94"/>
        <v>&lt;itemSizeSysCarousel&gt;0.0590625 0.21&lt;/itemSizeSysCarousel&gt;</v>
      </c>
    </row>
    <row r="38" spans="1:25" x14ac:dyDescent="0.25">
      <c r="C38" s="2" t="s">
        <v>1</v>
      </c>
      <c r="D38" s="2">
        <v>720</v>
      </c>
      <c r="E38" s="2">
        <v>720</v>
      </c>
      <c r="F38" s="2">
        <v>720</v>
      </c>
      <c r="G38" s="2">
        <v>720</v>
      </c>
      <c r="H38" s="2">
        <v>720</v>
      </c>
      <c r="I38" s="2">
        <v>720</v>
      </c>
      <c r="J38" s="2">
        <v>720</v>
      </c>
      <c r="K38" s="2">
        <v>720</v>
      </c>
      <c r="L38" s="2">
        <v>720</v>
      </c>
      <c r="M38" s="2">
        <v>720</v>
      </c>
      <c r="P38" t="str">
        <f>"&lt;selectedItemMarginsSysCarousel&gt;"&amp;D44&amp;" "&amp;D44&amp;"&lt;/selectedItemMarginsSysCarousel&gt;"</f>
        <v>&lt;selectedItemMarginsSysCarousel&gt;0.0525 0.0525&lt;/selectedItemMarginsSysCarousel&gt;</v>
      </c>
      <c r="Q38" t="str">
        <f t="shared" ref="Q38" si="95">"&lt;selectedItemMarginsSysCarousel&gt;"&amp;E44&amp;" "&amp;E44&amp;"&lt;/selectedItemMarginsSysCarousel&gt;"</f>
        <v>&lt;selectedItemMarginsSysCarousel&gt;0.0459375 0.0459375&lt;/selectedItemMarginsSysCarousel&gt;</v>
      </c>
      <c r="R38" t="str">
        <f t="shared" ref="R38" si="96">"&lt;selectedItemMarginsSysCarousel&gt;"&amp;F44&amp;" "&amp;F44&amp;"&lt;/selectedItemMarginsSysCarousel&gt;"</f>
        <v>&lt;selectedItemMarginsSysCarousel&gt;0.042 0.042&lt;/selectedItemMarginsSysCarousel&gt;</v>
      </c>
      <c r="S38" t="str">
        <f t="shared" ref="S38" si="97">"&lt;selectedItemMarginsSysCarousel&gt;"&amp;G44&amp;" "&amp;G44&amp;"&lt;/selectedItemMarginsSysCarousel&gt;"</f>
        <v>&lt;selectedItemMarginsSysCarousel&gt;0.039375 0.039375&lt;/selectedItemMarginsSysCarousel&gt;</v>
      </c>
      <c r="T38" t="str">
        <f t="shared" ref="T38" si="98">"&lt;selectedItemMarginsSysCarousel&gt;"&amp;H44&amp;" "&amp;H44&amp;"&lt;/selectedItemMarginsSysCarousel&gt;"</f>
        <v>&lt;selectedItemMarginsSysCarousel&gt;0.035 0.035&lt;/selectedItemMarginsSysCarousel&gt;</v>
      </c>
      <c r="U38" t="str">
        <f t="shared" ref="U38" si="99">"&lt;selectedItemMarginsSysCarousel&gt;"&amp;I44&amp;" "&amp;I44&amp;"&lt;/selectedItemMarginsSysCarousel&gt;"</f>
        <v>&lt;selectedItemMarginsSysCarousel&gt;0.0328125 0.0328125&lt;/selectedItemMarginsSysCarousel&gt;</v>
      </c>
      <c r="V38" t="str">
        <f t="shared" ref="V38" si="100">"&lt;selectedItemMarginsSysCarousel&gt;"&amp;J44&amp;" "&amp;J44&amp;"&lt;/selectedItemMarginsSysCarousel&gt;"</f>
        <v>&lt;selectedItemMarginsSysCarousel&gt;0.02953125 0.02953125&lt;/selectedItemMarginsSysCarousel&gt;</v>
      </c>
      <c r="W38" t="str">
        <f t="shared" ref="W38" si="101">"&lt;selectedItemMarginsSysCarousel&gt;"&amp;K44&amp;" "&amp;K44&amp;"&lt;/selectedItemMarginsSysCarousel&gt;"</f>
        <v>&lt;selectedItemMarginsSysCarousel&gt;0.0242307692307692 0.0242307692307692&lt;/selectedItemMarginsSysCarousel&gt;</v>
      </c>
      <c r="X38" t="str">
        <f t="shared" ref="X38" si="102">"&lt;selectedItemMarginsSysCarousel&gt;"&amp;L44&amp;" "&amp;L44&amp;"&lt;/selectedItemMarginsSysCarousel&gt;"</f>
        <v>&lt;selectedItemMarginsSysCarousel&gt;0.0225 0.0225&lt;/selectedItemMarginsSysCarousel&gt;</v>
      </c>
      <c r="Y38" t="str">
        <f t="shared" ref="Y38" si="103">"&lt;selectedItemMarginsSysCarousel&gt;"&amp;M44&amp;" "&amp;M44&amp;"&lt;/selectedItemMarginsSysCarousel&gt;"</f>
        <v>&lt;selectedItemMarginsSysCarousel&gt;0.014765625 0.014765625&lt;/selectedItemMarginsSysCarousel&gt;</v>
      </c>
    </row>
    <row r="39" spans="1:25" x14ac:dyDescent="0.25">
      <c r="P39" t="str">
        <f>"&lt;maxItemCountSysCarousel&gt;"&amp;D43&amp;"&lt;/maxItemCountSysCarousel&gt;"</f>
        <v>&lt;maxItemCountSysCarousel&gt;4.46190476190476&lt;/maxItemCountSysCarousel&gt;</v>
      </c>
      <c r="Q39" t="str">
        <f t="shared" ref="Q39" si="104">"&lt;maxItemCountSysCarousel&gt;"&amp;E43&amp;"&lt;/maxItemCountSysCarousel&gt;"</f>
        <v>&lt;maxItemCountSysCarousel&gt;5.09931972789116&lt;/maxItemCountSysCarousel&gt;</v>
      </c>
      <c r="R39" t="str">
        <f t="shared" ref="R39" si="105">"&lt;maxItemCountSysCarousel&gt;"&amp;F43&amp;"&lt;/maxItemCountSysCarousel&gt;"</f>
        <v>&lt;maxItemCountSysCarousel&gt;5.57738095238095&lt;/maxItemCountSysCarousel&gt;</v>
      </c>
      <c r="S39" t="str">
        <f t="shared" ref="S39" si="106">"&lt;maxItemCountSysCarousel&gt;"&amp;G43&amp;"&lt;/maxItemCountSysCarousel&gt;"</f>
        <v>&lt;maxItemCountSysCarousel&gt;5.94920634920635&lt;/maxItemCountSysCarousel&gt;</v>
      </c>
      <c r="T39" t="str">
        <f t="shared" ref="T39" si="107">"&lt;maxItemCountSysCarousel&gt;"&amp;H43&amp;"&lt;/maxItemCountSysCarousel&gt;"</f>
        <v>&lt;maxItemCountSysCarousel&gt;6.69285714285714&lt;/maxItemCountSysCarousel&gt;</v>
      </c>
      <c r="U39" t="str">
        <f t="shared" ref="U39" si="108">"&lt;maxItemCountSysCarousel&gt;"&amp;I43&amp;"&lt;/maxItemCountSysCarousel&gt;"</f>
        <v>&lt;maxItemCountSysCarousel&gt;7.13904761904762&lt;/maxItemCountSysCarousel&gt;</v>
      </c>
      <c r="V39" t="str">
        <f t="shared" ref="V39" si="109">"&lt;maxItemCountSysCarousel&gt;"&amp;J43&amp;"&lt;/maxItemCountSysCarousel&gt;"</f>
        <v>&lt;maxItemCountSysCarousel&gt;7.93227513227513&lt;/maxItemCountSysCarousel&gt;</v>
      </c>
      <c r="W39" t="str">
        <f t="shared" ref="W39" si="110">"&lt;maxItemCountSysCarousel&gt;"&amp;K43&amp;"&lt;/maxItemCountSysCarousel&gt;"</f>
        <v>&lt;maxItemCountSysCarousel&gt;9.66746031746032&lt;/maxItemCountSysCarousel&gt;</v>
      </c>
      <c r="X39" t="str">
        <f t="shared" ref="X39" si="111">"&lt;maxItemCountSysCarousel&gt;"&amp;L43&amp;"&lt;/maxItemCountSysCarousel&gt;"</f>
        <v>&lt;maxItemCountSysCarousel&gt;10.4111111111111&lt;/maxItemCountSysCarousel&gt;</v>
      </c>
      <c r="Y39" t="str">
        <f t="shared" ref="Y39" si="112">"&lt;maxItemCountSysCarousel&gt;"&amp;M43&amp;"&lt;/maxItemCountSysCarousel&gt;"</f>
        <v>&lt;maxItemCountSysCarousel&gt;15.8645502645503&lt;/maxItemCountSysCarousel&gt;</v>
      </c>
    </row>
    <row r="40" spans="1:25" x14ac:dyDescent="0.25">
      <c r="C40" t="s">
        <v>2</v>
      </c>
      <c r="D40">
        <f>$C$35</f>
        <v>0.21</v>
      </c>
      <c r="E40">
        <f t="shared" ref="E40:M40" si="113">$C$35</f>
        <v>0.21</v>
      </c>
      <c r="F40">
        <f t="shared" si="113"/>
        <v>0.21</v>
      </c>
      <c r="G40">
        <f t="shared" si="113"/>
        <v>0.21</v>
      </c>
      <c r="H40">
        <f t="shared" si="113"/>
        <v>0.21</v>
      </c>
      <c r="I40">
        <f t="shared" si="113"/>
        <v>0.21</v>
      </c>
      <c r="J40">
        <f t="shared" si="113"/>
        <v>0.21</v>
      </c>
      <c r="K40">
        <f t="shared" si="113"/>
        <v>0.21</v>
      </c>
      <c r="L40">
        <f t="shared" si="113"/>
        <v>0.21</v>
      </c>
      <c r="M40">
        <f t="shared" si="113"/>
        <v>0.21</v>
      </c>
      <c r="P40" t="str">
        <f>"&lt;selectorXSizeSysCarousel&gt;"&amp;D45&amp;"&lt;/selectorXSizeSysCarousel&gt;"</f>
        <v>&lt;selectorXSizeSysCarousel&gt;0.317&lt;/selectorXSizeSysCarousel&gt;</v>
      </c>
      <c r="Q40" t="str">
        <f t="shared" ref="Q40" si="114">"&lt;selectorXSizeSysCarousel&gt;"&amp;E45&amp;"&lt;/selectorXSizeSysCarousel&gt;"</f>
        <v>&lt;selectorXSizeSysCarousel&gt;0.2777&lt;/selectorXSizeSysCarousel&gt;</v>
      </c>
      <c r="R40" t="str">
        <f t="shared" ref="R40" si="115">"&lt;selectorXSizeSysCarousel&gt;"&amp;F45&amp;"&lt;/selectorXSizeSysCarousel&gt;"</f>
        <v>&lt;selectorXSizeSysCarousel&gt;0.254&lt;/selectorXSizeSysCarousel&gt;</v>
      </c>
      <c r="S40" t="str">
        <f t="shared" ref="S40" si="116">"&lt;selectorXSizeSysCarousel&gt;"&amp;G45&amp;"&lt;/selectorXSizeSysCarousel&gt;"</f>
        <v>&lt;selectorXSizeSysCarousel&gt;0.2383&lt;/selectorXSizeSysCarousel&gt;</v>
      </c>
      <c r="T40" t="str">
        <f t="shared" ref="T40" si="117">"&lt;selectorXSizeSysCarousel&gt;"&amp;H45&amp;"&lt;/selectorXSizeSysCarousel&gt;"</f>
        <v>&lt;selectorXSizeSysCarousel&gt;0.212&lt;/selectorXSizeSysCarousel&gt;</v>
      </c>
      <c r="U40" t="str">
        <f t="shared" ref="U40" si="118">"&lt;selectorXSizeSysCarousel&gt;"&amp;I45&amp;"&lt;/selectorXSizeSysCarousel&gt;"</f>
        <v>&lt;selectorXSizeSysCarousel&gt;0.1989&lt;/selectorXSizeSysCarousel&gt;</v>
      </c>
      <c r="V40" t="str">
        <f t="shared" ref="V40" si="119">"&lt;selectorXSizeSysCarousel&gt;"&amp;J45&amp;"&lt;/selectorXSizeSysCarousel&gt;"</f>
        <v>&lt;selectorXSizeSysCarousel&gt;0.1792&lt;/selectorXSizeSysCarousel&gt;</v>
      </c>
      <c r="W40" t="str">
        <f t="shared" ref="W40" si="120">"&lt;selectorXSizeSysCarousel&gt;"&amp;K45&amp;"&lt;/selectorXSizeSysCarousel&gt;"</f>
        <v>&lt;selectorXSizeSysCarousel&gt;0.1474&lt;/selectorXSizeSysCarousel&gt;</v>
      </c>
      <c r="X40" t="str">
        <f t="shared" ref="X40" si="121">"&lt;selectorXSizeSysCarousel&gt;"&amp;L45&amp;"&lt;/selectorXSizeSysCarousel&gt;"</f>
        <v>&lt;selectorXSizeSysCarousel&gt;0.137&lt;/selectorXSizeSysCarousel&gt;</v>
      </c>
      <c r="Y40" t="str">
        <f t="shared" ref="Y40" si="122">"&lt;selectorXSizeSysCarousel&gt;"&amp;M45&amp;"&lt;/selectorXSizeSysCarousel&gt;"</f>
        <v>&lt;selectorXSizeSysCarousel&gt;0.0906&lt;/selectorXSizeSysCarousel&gt;</v>
      </c>
    </row>
    <row r="41" spans="1:25" x14ac:dyDescent="0.25">
      <c r="C41" t="s">
        <v>3</v>
      </c>
      <c r="D41">
        <f>D40*D38/D37</f>
        <v>0.21</v>
      </c>
      <c r="E41">
        <f t="shared" ref="E41" si="123">E40*E38/E37</f>
        <v>0.18374999999999997</v>
      </c>
      <c r="F41">
        <f t="shared" ref="F41" si="124">F40*F38/F37</f>
        <v>0.16799999999999998</v>
      </c>
      <c r="G41">
        <f t="shared" ref="G41" si="125">G40*G38/G37</f>
        <v>0.1575</v>
      </c>
      <c r="H41">
        <f t="shared" ref="H41" si="126">H40*H38/H37</f>
        <v>0.13999999999999999</v>
      </c>
      <c r="I41">
        <f t="shared" ref="I41" si="127">I40*I38/I37</f>
        <v>0.13124999999999998</v>
      </c>
      <c r="J41">
        <f t="shared" ref="J41" si="128">J40*J38/J37</f>
        <v>0.11812499999999999</v>
      </c>
      <c r="K41">
        <f t="shared" ref="K41" si="129">K40*K38/K37</f>
        <v>9.6923076923076917E-2</v>
      </c>
      <c r="L41">
        <f t="shared" ref="L41" si="130">L40*L38/L37</f>
        <v>0.09</v>
      </c>
      <c r="M41">
        <f t="shared" ref="M41" si="131">M40*M38/M37</f>
        <v>5.9062499999999997E-2</v>
      </c>
      <c r="P41" t="str">
        <f>"&lt;sysNameXPos&gt;"&amp;D49&amp;"&lt;/sysNameXPos&gt;"</f>
        <v>&lt;sysNameXPos&gt;0.425698074277854&lt;/sysNameXPos&gt;</v>
      </c>
      <c r="Q41" t="str">
        <f t="shared" ref="Q41" si="132">"&lt;sysNameXPos&gt;"&amp;E49&amp;"&lt;/sysNameXPos&gt;"</f>
        <v>&lt;sysNameXPos&gt;0.403180903584467&lt;/sysNameXPos&gt;</v>
      </c>
      <c r="R41" t="str">
        <f t="shared" ref="R41" si="133">"&lt;sysNameXPos&gt;"&amp;F49&amp;"&lt;/sysNameXPos&gt;"</f>
        <v>&lt;sysNameXPos&gt;0.3897633289987&lt;/sysNameXPos&gt;</v>
      </c>
      <c r="S41" t="str">
        <f t="shared" ref="S41" si="134">"&lt;sysNameXPos&gt;"&amp;G49&amp;"&lt;/sysNameXPos&gt;"</f>
        <v>&lt;sysNameXPos&gt;0.380854313662604&lt;/sysNameXPos&gt;</v>
      </c>
      <c r="T41" t="str">
        <f t="shared" ref="T41" si="135">"&lt;sysNameXPos&gt;"&amp;H49&amp;"&lt;/sysNameXPos&gt;"</f>
        <v>&lt;sysNameXPos&gt;0.366066499372647&lt;/sysNameXPos&gt;</v>
      </c>
      <c r="U41" t="str">
        <f t="shared" ref="U41" si="136">"&lt;sysNameXPos&gt;"&amp;I49&amp;"&lt;/sysNameXPos&gt;"</f>
        <v>&lt;sysNameXPos&gt;0.358699678094943&lt;/sysNameXPos&gt;</v>
      </c>
      <c r="V41" t="str">
        <f t="shared" ref="V41" si="137">"&lt;sysNameXPos&gt;"&amp;J49&amp;"&lt;/sysNameXPos&gt;"</f>
        <v>&lt;sysNameXPos&gt;0.347681675507556&lt;/sysNameXPos&gt;</v>
      </c>
      <c r="W41" t="str">
        <f t="shared" ref="W41" si="138">"&lt;sysNameXPos&gt;"&amp;K49&amp;"&lt;/sysNameXPos&gt;"</f>
        <v>&lt;sysNameXPos&gt;0.329960872842019&lt;/sysNameXPos&gt;</v>
      </c>
      <c r="X41" t="str">
        <f t="shared" ref="X41" si="139">"&lt;sysNameXPos&gt;"&amp;L49&amp;"&lt;/sysNameXPos&gt;"</f>
        <v>&lt;sysNameXPos&gt;0.324194214876033&lt;/sysNameXPos&gt;</v>
      </c>
      <c r="Y41" t="str">
        <f t="shared" ref="Y41" si="140">"&lt;sysNameXPos&gt;"&amp;M49&amp;"&lt;/sysNameXPos&gt;"</f>
        <v>&lt;sysNameXPos&gt;0.29853514651705&lt;/sysNameXPos&gt;</v>
      </c>
    </row>
    <row r="42" spans="1:25" x14ac:dyDescent="0.25">
      <c r="C42" t="s">
        <v>4</v>
      </c>
      <c r="D42">
        <f>1/D41</f>
        <v>4.7619047619047619</v>
      </c>
      <c r="E42">
        <f t="shared" ref="E42" si="141">1/E41</f>
        <v>5.4421768707483</v>
      </c>
      <c r="F42">
        <f t="shared" ref="F42" si="142">1/F41</f>
        <v>5.9523809523809534</v>
      </c>
      <c r="G42">
        <f t="shared" ref="G42" si="143">1/G41</f>
        <v>6.3492063492063489</v>
      </c>
      <c r="H42">
        <f t="shared" ref="H42" si="144">1/H41</f>
        <v>7.1428571428571432</v>
      </c>
      <c r="I42">
        <f t="shared" ref="I42" si="145">1/I41</f>
        <v>7.6190476190476204</v>
      </c>
      <c r="J42">
        <f>1/J41</f>
        <v>8.4656084656084669</v>
      </c>
      <c r="K42">
        <f t="shared" ref="K42" si="146">1/K41</f>
        <v>10.317460317460318</v>
      </c>
      <c r="L42">
        <f t="shared" ref="L42" si="147">1/L41</f>
        <v>11.111111111111111</v>
      </c>
      <c r="M42">
        <f t="shared" ref="M42" si="148">1/M41</f>
        <v>16.931216931216934</v>
      </c>
    </row>
    <row r="43" spans="1:25" x14ac:dyDescent="0.25">
      <c r="C43" t="s">
        <v>5</v>
      </c>
      <c r="D43">
        <f>D42-D$54</f>
        <v>4.461904761904762</v>
      </c>
      <c r="E43">
        <f t="shared" ref="E43:M43" si="149">E42-E$54</f>
        <v>5.0993197278911575</v>
      </c>
      <c r="F43">
        <f t="shared" si="149"/>
        <v>5.5773809523809534</v>
      </c>
      <c r="G43">
        <f t="shared" si="149"/>
        <v>5.9492063492063485</v>
      </c>
      <c r="H43">
        <f t="shared" si="149"/>
        <v>6.6928571428571431</v>
      </c>
      <c r="I43">
        <f t="shared" si="149"/>
        <v>7.13904761904762</v>
      </c>
      <c r="J43">
        <f t="shared" si="149"/>
        <v>7.9322751322751337</v>
      </c>
      <c r="K43">
        <f t="shared" si="149"/>
        <v>9.6674603174603178</v>
      </c>
      <c r="L43">
        <f t="shared" si="149"/>
        <v>10.411111111111111</v>
      </c>
      <c r="M43">
        <f t="shared" si="149"/>
        <v>15.864550264550267</v>
      </c>
    </row>
    <row r="44" spans="1:25" x14ac:dyDescent="0.25">
      <c r="C44" t="s">
        <v>7</v>
      </c>
      <c r="D44">
        <f t="shared" ref="D44:M44" si="150">(($P$1*D41)-D41)/2</f>
        <v>5.2500000000000005E-2</v>
      </c>
      <c r="E44">
        <f t="shared" si="150"/>
        <v>4.5937499999999992E-2</v>
      </c>
      <c r="F44">
        <f t="shared" si="150"/>
        <v>4.200000000000001E-2</v>
      </c>
      <c r="G44">
        <f t="shared" si="150"/>
        <v>3.9375000000000007E-2</v>
      </c>
      <c r="H44">
        <f t="shared" si="150"/>
        <v>3.4999999999999989E-2</v>
      </c>
      <c r="I44">
        <f t="shared" si="150"/>
        <v>3.2812499999999994E-2</v>
      </c>
      <c r="J44">
        <f t="shared" si="150"/>
        <v>2.9531250000000002E-2</v>
      </c>
      <c r="K44">
        <f t="shared" si="150"/>
        <v>2.4230769230769236E-2</v>
      </c>
      <c r="L44">
        <f t="shared" si="150"/>
        <v>2.2500000000000006E-2</v>
      </c>
      <c r="M44">
        <f t="shared" si="150"/>
        <v>1.4765625000000001E-2</v>
      </c>
    </row>
    <row r="45" spans="1:25" x14ac:dyDescent="0.25">
      <c r="C45" t="s">
        <v>30</v>
      </c>
      <c r="D45">
        <f>ROUNDUP(D41*$P$1,4)+0.002</f>
        <v>0.317</v>
      </c>
      <c r="E45">
        <f t="shared" ref="E45:M45" si="151">ROUNDUP(E41*$P$1,4)+0.002</f>
        <v>0.2777</v>
      </c>
      <c r="F45">
        <f t="shared" si="151"/>
        <v>0.254</v>
      </c>
      <c r="G45">
        <f t="shared" si="151"/>
        <v>0.23829999999999998</v>
      </c>
      <c r="H45">
        <f t="shared" si="151"/>
        <v>0.21199999999999999</v>
      </c>
      <c r="I45">
        <f t="shared" si="151"/>
        <v>0.19889999999999999</v>
      </c>
      <c r="J45">
        <f t="shared" si="151"/>
        <v>0.1792</v>
      </c>
      <c r="K45">
        <f t="shared" si="151"/>
        <v>0.1474</v>
      </c>
      <c r="L45">
        <f t="shared" si="151"/>
        <v>0.13700000000000001</v>
      </c>
      <c r="M45">
        <f>ROUNDUP(M41*$P$1,4)+0.002</f>
        <v>9.06E-2</v>
      </c>
    </row>
    <row r="46" spans="1:25" x14ac:dyDescent="0.25">
      <c r="C46" t="s">
        <v>31</v>
      </c>
      <c r="D46">
        <f>0.125+(D40*$P$1)</f>
        <v>0.44</v>
      </c>
      <c r="E46">
        <f t="shared" ref="E46:M46" si="152">0.125+(E40*$P$1)</f>
        <v>0.44</v>
      </c>
      <c r="F46">
        <f t="shared" si="152"/>
        <v>0.44</v>
      </c>
      <c r="G46">
        <f t="shared" si="152"/>
        <v>0.44</v>
      </c>
      <c r="H46">
        <f t="shared" si="152"/>
        <v>0.44</v>
      </c>
      <c r="I46">
        <f t="shared" si="152"/>
        <v>0.44</v>
      </c>
      <c r="J46">
        <f t="shared" si="152"/>
        <v>0.44</v>
      </c>
      <c r="K46">
        <f t="shared" si="152"/>
        <v>0.44</v>
      </c>
      <c r="L46">
        <f t="shared" si="152"/>
        <v>0.44</v>
      </c>
      <c r="M46">
        <f t="shared" si="152"/>
        <v>0.44</v>
      </c>
    </row>
    <row r="47" spans="1:25" x14ac:dyDescent="0.25">
      <c r="C47" t="s">
        <v>32</v>
      </c>
      <c r="D47">
        <f>(D40*$P$1)+0.049</f>
        <v>0.36399999999999999</v>
      </c>
      <c r="E47">
        <f t="shared" ref="E47:M47" si="153">(E40*$P$1)+0.049</f>
        <v>0.36399999999999999</v>
      </c>
      <c r="F47">
        <f t="shared" si="153"/>
        <v>0.36399999999999999</v>
      </c>
      <c r="G47">
        <f t="shared" si="153"/>
        <v>0.36399999999999999</v>
      </c>
      <c r="H47">
        <f t="shared" si="153"/>
        <v>0.36399999999999999</v>
      </c>
      <c r="I47">
        <f t="shared" si="153"/>
        <v>0.36399999999999999</v>
      </c>
      <c r="J47">
        <f t="shared" si="153"/>
        <v>0.36399999999999999</v>
      </c>
      <c r="K47">
        <f t="shared" si="153"/>
        <v>0.36399999999999999</v>
      </c>
      <c r="L47">
        <f t="shared" si="153"/>
        <v>0.36399999999999999</v>
      </c>
      <c r="M47">
        <f t="shared" si="153"/>
        <v>0.36399999999999999</v>
      </c>
    </row>
    <row r="48" spans="1:25" x14ac:dyDescent="0.25">
      <c r="C48" t="s">
        <v>33</v>
      </c>
      <c r="D48">
        <f>(D40*$P$1)</f>
        <v>0.315</v>
      </c>
      <c r="E48">
        <f t="shared" ref="E48:M48" si="154">(E40*$P$1)</f>
        <v>0.315</v>
      </c>
      <c r="F48">
        <f t="shared" si="154"/>
        <v>0.315</v>
      </c>
      <c r="G48">
        <f t="shared" si="154"/>
        <v>0.315</v>
      </c>
      <c r="H48">
        <f t="shared" si="154"/>
        <v>0.315</v>
      </c>
      <c r="I48">
        <f t="shared" si="154"/>
        <v>0.315</v>
      </c>
      <c r="J48">
        <f t="shared" si="154"/>
        <v>0.315</v>
      </c>
      <c r="K48">
        <f t="shared" si="154"/>
        <v>0.315</v>
      </c>
      <c r="L48">
        <f t="shared" si="154"/>
        <v>0.315</v>
      </c>
      <c r="M48">
        <f t="shared" si="154"/>
        <v>0.315</v>
      </c>
    </row>
    <row r="49" spans="3:13" x14ac:dyDescent="0.25">
      <c r="C49" t="s">
        <v>34</v>
      </c>
      <c r="D49">
        <f>0.25+(0.5*D41)+(D44)+(1-(D43*D41))/(D43-1)</f>
        <v>0.42569807427785417</v>
      </c>
      <c r="E49">
        <f t="shared" ref="E49:M49" si="155">0.25+(0.5*E41)+(E44)+(1-(E43*E41))/(E43-1)</f>
        <v>0.40318090358446729</v>
      </c>
      <c r="F49">
        <f t="shared" si="155"/>
        <v>0.38976332899869959</v>
      </c>
      <c r="G49">
        <f t="shared" si="155"/>
        <v>0.38085431366260425</v>
      </c>
      <c r="H49">
        <f t="shared" si="155"/>
        <v>0.3660664993726474</v>
      </c>
      <c r="I49">
        <f t="shared" si="155"/>
        <v>0.35869967809494258</v>
      </c>
      <c r="J49">
        <f>0.25+(0.5*J41)+(J44)+(1-(J43*J41))/(J43-1)</f>
        <v>0.34768167550755608</v>
      </c>
      <c r="K49">
        <f t="shared" si="155"/>
        <v>0.32996087284201925</v>
      </c>
      <c r="L49">
        <f t="shared" si="155"/>
        <v>0.32419421487603306</v>
      </c>
      <c r="M49">
        <f t="shared" si="155"/>
        <v>0.29853514651704993</v>
      </c>
    </row>
    <row r="53" spans="3:13" x14ac:dyDescent="0.25">
      <c r="D53">
        <f t="shared" ref="D53:L53" si="156">D37/D38</f>
        <v>1</v>
      </c>
      <c r="E53">
        <f t="shared" si="156"/>
        <v>1.1428571428571428</v>
      </c>
      <c r="F53">
        <f t="shared" si="156"/>
        <v>1.25</v>
      </c>
      <c r="G53">
        <f t="shared" si="156"/>
        <v>1.3333333333333333</v>
      </c>
      <c r="H53">
        <f t="shared" si="156"/>
        <v>1.5</v>
      </c>
      <c r="I53">
        <f t="shared" si="156"/>
        <v>1.6</v>
      </c>
      <c r="J53">
        <f t="shared" si="156"/>
        <v>1.7777777777777777</v>
      </c>
      <c r="K53">
        <f t="shared" si="156"/>
        <v>2.1666666666666665</v>
      </c>
      <c r="L53">
        <f t="shared" si="156"/>
        <v>2.3333333333333335</v>
      </c>
      <c r="M53">
        <f>M37/M38</f>
        <v>3.5555555555555554</v>
      </c>
    </row>
    <row r="54" spans="3:13" x14ac:dyDescent="0.25">
      <c r="D54">
        <f>0.3*D53</f>
        <v>0.3</v>
      </c>
      <c r="E54">
        <f t="shared" ref="E54:M54" si="157">0.3*E53</f>
        <v>0.3428571428571428</v>
      </c>
      <c r="F54">
        <f t="shared" si="157"/>
        <v>0.375</v>
      </c>
      <c r="G54">
        <f t="shared" si="157"/>
        <v>0.39999999999999997</v>
      </c>
      <c r="H54">
        <f t="shared" si="157"/>
        <v>0.44999999999999996</v>
      </c>
      <c r="I54">
        <f t="shared" si="157"/>
        <v>0.48</v>
      </c>
      <c r="J54">
        <f t="shared" si="157"/>
        <v>0.53333333333333333</v>
      </c>
      <c r="K54">
        <f t="shared" si="157"/>
        <v>0.64999999999999991</v>
      </c>
      <c r="L54">
        <f t="shared" si="157"/>
        <v>0.70000000000000007</v>
      </c>
      <c r="M54">
        <f t="shared" si="157"/>
        <v>1.0666666666666667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5948-77EC-410A-A4BA-F54E32F983B5}">
  <dimension ref="A1:E292"/>
  <sheetViews>
    <sheetView tabSelected="1" topLeftCell="A262" workbookViewId="0">
      <selection activeCell="E287" sqref="A1:E292"/>
    </sheetView>
  </sheetViews>
  <sheetFormatPr defaultRowHeight="15" x14ac:dyDescent="0.25"/>
  <sheetData>
    <row r="1" spans="1:5" x14ac:dyDescent="0.25">
      <c r="A1" t="s">
        <v>8</v>
      </c>
    </row>
    <row r="2" spans="1:5" x14ac:dyDescent="0.25">
      <c r="B2" t="s">
        <v>9</v>
      </c>
    </row>
    <row r="3" spans="1:5" x14ac:dyDescent="0.25">
      <c r="C3" t="s">
        <v>10</v>
      </c>
    </row>
    <row r="4" spans="1:5" x14ac:dyDescent="0.25">
      <c r="D4" t="s">
        <v>11</v>
      </c>
    </row>
    <row r="5" spans="1:5" x14ac:dyDescent="0.25">
      <c r="E5" t="str">
        <f>Sheet1!P5</f>
        <v>&lt;itemSizeSysCarousel&gt;0.17 0.17&lt;/itemSizeSysCarousel&gt;</v>
      </c>
    </row>
    <row r="6" spans="1:5" x14ac:dyDescent="0.25">
      <c r="E6" t="str">
        <f>Sheet1!P6</f>
        <v>&lt;selectedItemMarginsSysCarousel&gt;0.0425 0.0425&lt;/selectedItemMarginsSysCarousel&gt;</v>
      </c>
    </row>
    <row r="7" spans="1:5" x14ac:dyDescent="0.25">
      <c r="E7" t="str">
        <f>Sheet1!P7</f>
        <v>&lt;maxItemCountSysCarousel&gt;5.58235294117647&lt;/maxItemCountSysCarousel&gt;</v>
      </c>
    </row>
    <row r="8" spans="1:5" x14ac:dyDescent="0.25">
      <c r="E8" t="str">
        <f>Sheet1!P8</f>
        <v>&lt;selectorXSizeSysCarousel&gt;0.257&lt;/selectorXSizeSysCarousel&gt;</v>
      </c>
    </row>
    <row r="9" spans="1:5" x14ac:dyDescent="0.25">
      <c r="E9" t="str">
        <f>Sheet1!P9</f>
        <v>&lt;sysNameXPos&gt;0.388629653401797&lt;/sysNameXPos&gt;</v>
      </c>
    </row>
    <row r="10" spans="1:5" x14ac:dyDescent="0.25">
      <c r="D10" t="s">
        <v>12</v>
      </c>
    </row>
    <row r="11" spans="1:5" x14ac:dyDescent="0.25">
      <c r="C11" t="s">
        <v>13</v>
      </c>
    </row>
    <row r="12" spans="1:5" x14ac:dyDescent="0.25">
      <c r="C12" t="s">
        <v>14</v>
      </c>
    </row>
    <row r="13" spans="1:5" x14ac:dyDescent="0.25">
      <c r="D13" t="s">
        <v>11</v>
      </c>
    </row>
    <row r="14" spans="1:5" x14ac:dyDescent="0.25">
      <c r="E14" t="str">
        <f>Sheet1!P21</f>
        <v>&lt;itemSizeSysCarousel&gt;0.19 0.19&lt;/itemSizeSysCarousel&gt;</v>
      </c>
    </row>
    <row r="15" spans="1:5" x14ac:dyDescent="0.25">
      <c r="E15" t="str">
        <f>Sheet1!P22</f>
        <v>&lt;selectedItemMarginsSysCarousel&gt;0.0475 0.0475&lt;/selectedItemMarginsSysCarousel&gt;</v>
      </c>
    </row>
    <row r="16" spans="1:5" x14ac:dyDescent="0.25">
      <c r="E16" t="str">
        <f>Sheet1!P23</f>
        <v>&lt;maxItemCountSysCarousel&gt;4.96315789473684&lt;/maxItemCountSysCarousel&gt;</v>
      </c>
    </row>
    <row r="17" spans="2:5" x14ac:dyDescent="0.25">
      <c r="E17" t="str">
        <f>Sheet1!P24</f>
        <v>&lt;selectorXSizeSysCarousel&gt;0.287&lt;/selectorXSizeSysCarousel&gt;</v>
      </c>
    </row>
    <row r="18" spans="2:5" x14ac:dyDescent="0.25">
      <c r="E18" t="str">
        <f>Sheet1!P25</f>
        <v>&lt;sysNameXPos&gt;0.406882470119522&lt;/sysNameXPos&gt;</v>
      </c>
    </row>
    <row r="19" spans="2:5" x14ac:dyDescent="0.25">
      <c r="D19" t="s">
        <v>12</v>
      </c>
    </row>
    <row r="20" spans="2:5" x14ac:dyDescent="0.25">
      <c r="C20" t="s">
        <v>13</v>
      </c>
    </row>
    <row r="21" spans="2:5" x14ac:dyDescent="0.25">
      <c r="C21" t="s">
        <v>15</v>
      </c>
    </row>
    <row r="22" spans="2:5" x14ac:dyDescent="0.25">
      <c r="D22" t="s">
        <v>11</v>
      </c>
    </row>
    <row r="23" spans="2:5" x14ac:dyDescent="0.25">
      <c r="E23" t="str">
        <f>Sheet1!P37</f>
        <v>&lt;itemSizeSysCarousel&gt;0.21 0.21&lt;/itemSizeSysCarousel&gt;</v>
      </c>
    </row>
    <row r="24" spans="2:5" x14ac:dyDescent="0.25">
      <c r="E24" t="str">
        <f>Sheet1!P38</f>
        <v>&lt;selectedItemMarginsSysCarousel&gt;0.0525 0.0525&lt;/selectedItemMarginsSysCarousel&gt;</v>
      </c>
    </row>
    <row r="25" spans="2:5" x14ac:dyDescent="0.25">
      <c r="E25" t="str">
        <f>Sheet1!P39</f>
        <v>&lt;maxItemCountSysCarousel&gt;4.46190476190476&lt;/maxItemCountSysCarousel&gt;</v>
      </c>
    </row>
    <row r="26" spans="2:5" x14ac:dyDescent="0.25">
      <c r="E26" t="str">
        <f>Sheet1!P40</f>
        <v>&lt;selectorXSizeSysCarousel&gt;0.317&lt;/selectorXSizeSysCarousel&gt;</v>
      </c>
    </row>
    <row r="27" spans="2:5" x14ac:dyDescent="0.25">
      <c r="E27" t="str">
        <f>Sheet1!P41</f>
        <v>&lt;sysNameXPos&gt;0.425698074277854&lt;/sysNameXPos&gt;</v>
      </c>
    </row>
    <row r="28" spans="2:5" x14ac:dyDescent="0.25">
      <c r="D28" t="s">
        <v>12</v>
      </c>
    </row>
    <row r="29" spans="2:5" x14ac:dyDescent="0.25">
      <c r="C29" t="s">
        <v>13</v>
      </c>
    </row>
    <row r="30" spans="2:5" x14ac:dyDescent="0.25">
      <c r="B30" t="s">
        <v>16</v>
      </c>
    </row>
    <row r="31" spans="2:5" x14ac:dyDescent="0.25">
      <c r="B31" t="s">
        <v>17</v>
      </c>
    </row>
    <row r="32" spans="2:5" x14ac:dyDescent="0.25">
      <c r="C32" t="s">
        <v>10</v>
      </c>
    </row>
    <row r="33" spans="3:5" x14ac:dyDescent="0.25">
      <c r="D33" t="s">
        <v>11</v>
      </c>
    </row>
    <row r="34" spans="3:5" x14ac:dyDescent="0.25">
      <c r="E34" t="str">
        <f>Sheet1!Q5</f>
        <v>&lt;itemSizeSysCarousel&gt;0.14875 0.17&lt;/itemSizeSysCarousel&gt;</v>
      </c>
    </row>
    <row r="35" spans="3:5" x14ac:dyDescent="0.25">
      <c r="E35" t="str">
        <f>Sheet1!Q6</f>
        <v>&lt;selectedItemMarginsSysCarousel&gt;0.0371875 0.0371875&lt;/selectedItemMarginsSysCarousel&gt;</v>
      </c>
    </row>
    <row r="36" spans="3:5" x14ac:dyDescent="0.25">
      <c r="E36" t="str">
        <f>Sheet1!Q7</f>
        <v>&lt;maxItemCountSysCarousel&gt;6.37983193277311&lt;/maxItemCountSysCarousel&gt;</v>
      </c>
    </row>
    <row r="37" spans="3:5" x14ac:dyDescent="0.25">
      <c r="E37" t="str">
        <f>Sheet1!Q8</f>
        <v>&lt;selectorXSizeSysCarousel&gt;0.2252&lt;/selectorXSizeSysCarousel&gt;</v>
      </c>
    </row>
    <row r="38" spans="3:5" x14ac:dyDescent="0.25">
      <c r="E38" t="str">
        <f>Sheet1!Q9</f>
        <v>&lt;sysNameXPos&gt;0.37104235004686&lt;/sysNameXPos&gt;</v>
      </c>
    </row>
    <row r="39" spans="3:5" x14ac:dyDescent="0.25">
      <c r="D39" t="s">
        <v>12</v>
      </c>
    </row>
    <row r="40" spans="3:5" x14ac:dyDescent="0.25">
      <c r="C40" t="s">
        <v>13</v>
      </c>
    </row>
    <row r="41" spans="3:5" x14ac:dyDescent="0.25">
      <c r="C41" t="s">
        <v>14</v>
      </c>
    </row>
    <row r="42" spans="3:5" x14ac:dyDescent="0.25">
      <c r="D42" t="s">
        <v>11</v>
      </c>
    </row>
    <row r="43" spans="3:5" x14ac:dyDescent="0.25">
      <c r="E43" t="str">
        <f>Sheet1!Q21</f>
        <v>&lt;itemSizeSysCarousel&gt;0.16625 0.19&lt;/itemSizeSysCarousel&gt;</v>
      </c>
    </row>
    <row r="44" spans="3:5" x14ac:dyDescent="0.25">
      <c r="E44" t="str">
        <f>Sheet1!Q22</f>
        <v>&lt;selectedItemMarginsSysCarousel&gt;0.0415625 0.0415625&lt;/selectedItemMarginsSysCarousel&gt;</v>
      </c>
    </row>
    <row r="45" spans="3:5" x14ac:dyDescent="0.25">
      <c r="E45" t="str">
        <f>Sheet1!Q23</f>
        <v>&lt;maxItemCountSysCarousel&gt;5.67218045112782&lt;/maxItemCountSysCarousel&gt;</v>
      </c>
    </row>
    <row r="46" spans="3:5" x14ac:dyDescent="0.25">
      <c r="E46" t="str">
        <f>Sheet1!Q24</f>
        <v>&lt;selectorXSizeSysCarousel&gt;0.2514&lt;/selectorXSizeSysCarousel&gt;</v>
      </c>
    </row>
    <row r="47" spans="3:5" x14ac:dyDescent="0.25">
      <c r="E47" t="str">
        <f>Sheet1!Q25</f>
        <v>&lt;sysNameXPos&gt;0.386887371258449&lt;/sysNameXPos&gt;</v>
      </c>
    </row>
    <row r="48" spans="3:5" x14ac:dyDescent="0.25">
      <c r="D48" t="s">
        <v>12</v>
      </c>
    </row>
    <row r="49" spans="2:5" x14ac:dyDescent="0.25">
      <c r="C49" t="s">
        <v>13</v>
      </c>
    </row>
    <row r="50" spans="2:5" x14ac:dyDescent="0.25">
      <c r="C50" t="s">
        <v>15</v>
      </c>
    </row>
    <row r="51" spans="2:5" x14ac:dyDescent="0.25">
      <c r="D51" t="s">
        <v>11</v>
      </c>
    </row>
    <row r="52" spans="2:5" x14ac:dyDescent="0.25">
      <c r="E52" t="str">
        <f>Sheet1!Q37</f>
        <v>&lt;itemSizeSysCarousel&gt;0.18375 0.21&lt;/itemSizeSysCarousel&gt;</v>
      </c>
    </row>
    <row r="53" spans="2:5" x14ac:dyDescent="0.25">
      <c r="E53" t="str">
        <f>Sheet1!Q38</f>
        <v>&lt;selectedItemMarginsSysCarousel&gt;0.0459375 0.0459375&lt;/selectedItemMarginsSysCarousel&gt;</v>
      </c>
    </row>
    <row r="54" spans="2:5" x14ac:dyDescent="0.25">
      <c r="E54" t="str">
        <f>Sheet1!Q39</f>
        <v>&lt;maxItemCountSysCarousel&gt;5.09931972789116&lt;/maxItemCountSysCarousel&gt;</v>
      </c>
    </row>
    <row r="55" spans="2:5" x14ac:dyDescent="0.25">
      <c r="E55" t="str">
        <f>Sheet1!Q40</f>
        <v>&lt;selectorXSizeSysCarousel&gt;0.2777&lt;/selectorXSizeSysCarousel&gt;</v>
      </c>
    </row>
    <row r="56" spans="2:5" x14ac:dyDescent="0.25">
      <c r="E56" t="str">
        <f>Sheet1!Q41</f>
        <v>&lt;sysNameXPos&gt;0.403180903584467&lt;/sysNameXPos&gt;</v>
      </c>
    </row>
    <row r="57" spans="2:5" x14ac:dyDescent="0.25">
      <c r="D57" t="s">
        <v>12</v>
      </c>
    </row>
    <row r="58" spans="2:5" x14ac:dyDescent="0.25">
      <c r="C58" t="s">
        <v>13</v>
      </c>
    </row>
    <row r="59" spans="2:5" x14ac:dyDescent="0.25">
      <c r="B59" t="s">
        <v>16</v>
      </c>
    </row>
    <row r="60" spans="2:5" x14ac:dyDescent="0.25">
      <c r="B60" t="s">
        <v>18</v>
      </c>
    </row>
    <row r="61" spans="2:5" x14ac:dyDescent="0.25">
      <c r="C61" t="s">
        <v>10</v>
      </c>
    </row>
    <row r="62" spans="2:5" x14ac:dyDescent="0.25">
      <c r="D62" t="s">
        <v>11</v>
      </c>
    </row>
    <row r="63" spans="2:5" x14ac:dyDescent="0.25">
      <c r="E63" t="str">
        <f>Sheet1!R5</f>
        <v>&lt;itemSizeSysCarousel&gt;0.136 0.17&lt;/itemSizeSysCarousel&gt;</v>
      </c>
    </row>
    <row r="64" spans="2:5" x14ac:dyDescent="0.25">
      <c r="E64" t="str">
        <f>Sheet1!R6</f>
        <v>&lt;selectedItemMarginsSysCarousel&gt;0.034 0.034&lt;/selectedItemMarginsSysCarousel&gt;</v>
      </c>
    </row>
    <row r="65" spans="3:5" x14ac:dyDescent="0.25">
      <c r="E65" t="str">
        <f>Sheet1!R7</f>
        <v>&lt;maxItemCountSysCarousel&gt;6.97794117647059&lt;/maxItemCountSysCarousel&gt;</v>
      </c>
    </row>
    <row r="66" spans="3:5" x14ac:dyDescent="0.25">
      <c r="E66" t="str">
        <f>Sheet1!R8</f>
        <v>&lt;selectorXSizeSysCarousel&gt;0.206&lt;/selectorXSizeSysCarousel&gt;</v>
      </c>
    </row>
    <row r="67" spans="3:5" x14ac:dyDescent="0.25">
      <c r="E67" t="str">
        <f>Sheet1!R9</f>
        <v>&lt;sysNameXPos&gt;0.360531365313653&lt;/sysNameXPos&gt;</v>
      </c>
    </row>
    <row r="68" spans="3:5" x14ac:dyDescent="0.25">
      <c r="D68" t="s">
        <v>12</v>
      </c>
    </row>
    <row r="69" spans="3:5" x14ac:dyDescent="0.25">
      <c r="C69" t="s">
        <v>13</v>
      </c>
    </row>
    <row r="70" spans="3:5" x14ac:dyDescent="0.25">
      <c r="C70" t="s">
        <v>14</v>
      </c>
    </row>
    <row r="71" spans="3:5" x14ac:dyDescent="0.25">
      <c r="D71" t="s">
        <v>11</v>
      </c>
    </row>
    <row r="72" spans="3:5" x14ac:dyDescent="0.25">
      <c r="E72" t="str">
        <f>Sheet1!R21</f>
        <v>&lt;itemSizeSysCarousel&gt;0.152 0.19&lt;/itemSizeSysCarousel&gt;</v>
      </c>
    </row>
    <row r="73" spans="3:5" x14ac:dyDescent="0.25">
      <c r="E73" t="str">
        <f>Sheet1!R22</f>
        <v>&lt;selectedItemMarginsSysCarousel&gt;0.038 0.038&lt;/selectedItemMarginsSysCarousel&gt;</v>
      </c>
    </row>
    <row r="74" spans="3:5" x14ac:dyDescent="0.25">
      <c r="E74" t="str">
        <f>Sheet1!R23</f>
        <v>&lt;maxItemCountSysCarousel&gt;6.20394736842105&lt;/maxItemCountSysCarousel&gt;</v>
      </c>
    </row>
    <row r="75" spans="3:5" x14ac:dyDescent="0.25">
      <c r="E75" t="str">
        <f>Sheet1!R24</f>
        <v>&lt;selectorXSizeSysCarousel&gt;0.23&lt;/selectorXSizeSysCarousel&gt;</v>
      </c>
    </row>
    <row r="76" spans="3:5" x14ac:dyDescent="0.25">
      <c r="E76" t="str">
        <f>Sheet1!R25</f>
        <v>&lt;sysNameXPos&gt;0.374953223767383&lt;/sysNameXPos&gt;</v>
      </c>
    </row>
    <row r="77" spans="3:5" x14ac:dyDescent="0.25">
      <c r="D77" t="s">
        <v>12</v>
      </c>
    </row>
    <row r="78" spans="3:5" x14ac:dyDescent="0.25">
      <c r="C78" t="s">
        <v>13</v>
      </c>
    </row>
    <row r="79" spans="3:5" x14ac:dyDescent="0.25">
      <c r="C79" t="s">
        <v>15</v>
      </c>
    </row>
    <row r="80" spans="3:5" x14ac:dyDescent="0.25">
      <c r="D80" t="s">
        <v>11</v>
      </c>
    </row>
    <row r="81" spans="2:5" x14ac:dyDescent="0.25">
      <c r="E81" t="str">
        <f>Sheet1!R37</f>
        <v>&lt;itemSizeSysCarousel&gt;0.168 0.21&lt;/itemSizeSysCarousel&gt;</v>
      </c>
    </row>
    <row r="82" spans="2:5" x14ac:dyDescent="0.25">
      <c r="E82" t="str">
        <f>Sheet1!R38</f>
        <v>&lt;selectedItemMarginsSysCarousel&gt;0.042 0.042&lt;/selectedItemMarginsSysCarousel&gt;</v>
      </c>
    </row>
    <row r="83" spans="2:5" x14ac:dyDescent="0.25">
      <c r="E83" t="str">
        <f>Sheet1!R39</f>
        <v>&lt;maxItemCountSysCarousel&gt;5.57738095238095&lt;/maxItemCountSysCarousel&gt;</v>
      </c>
    </row>
    <row r="84" spans="2:5" x14ac:dyDescent="0.25">
      <c r="E84" t="str">
        <f>Sheet1!R40</f>
        <v>&lt;selectorXSizeSysCarousel&gt;0.254&lt;/selectorXSizeSysCarousel&gt;</v>
      </c>
    </row>
    <row r="85" spans="2:5" x14ac:dyDescent="0.25">
      <c r="E85" t="str">
        <f>Sheet1!R41</f>
        <v>&lt;sysNameXPos&gt;0.3897633289987&lt;/sysNameXPos&gt;</v>
      </c>
    </row>
    <row r="86" spans="2:5" x14ac:dyDescent="0.25">
      <c r="D86" t="s">
        <v>12</v>
      </c>
    </row>
    <row r="87" spans="2:5" x14ac:dyDescent="0.25">
      <c r="C87" t="s">
        <v>13</v>
      </c>
    </row>
    <row r="88" spans="2:5" x14ac:dyDescent="0.25">
      <c r="B88" t="s">
        <v>16</v>
      </c>
    </row>
    <row r="89" spans="2:5" x14ac:dyDescent="0.25">
      <c r="B89" t="s">
        <v>19</v>
      </c>
    </row>
    <row r="90" spans="2:5" x14ac:dyDescent="0.25">
      <c r="C90" t="s">
        <v>10</v>
      </c>
    </row>
    <row r="91" spans="2:5" x14ac:dyDescent="0.25">
      <c r="D91" t="s">
        <v>11</v>
      </c>
    </row>
    <row r="92" spans="2:5" x14ac:dyDescent="0.25">
      <c r="E92" t="str">
        <f>Sheet1!S5</f>
        <v>&lt;itemSizeSysCarousel&gt;0.1275 0.17&lt;/itemSizeSysCarousel&gt;</v>
      </c>
    </row>
    <row r="93" spans="2:5" x14ac:dyDescent="0.25">
      <c r="E93" t="str">
        <f>Sheet1!S6</f>
        <v>&lt;selectedItemMarginsSysCarousel&gt;0.031875 0.031875&lt;/selectedItemMarginsSysCarousel&gt;</v>
      </c>
    </row>
    <row r="94" spans="2:5" x14ac:dyDescent="0.25">
      <c r="E94" t="str">
        <f>Sheet1!S7</f>
        <v>&lt;maxItemCountSysCarousel&gt;7.44313725490196&lt;/maxItemCountSysCarousel&gt;</v>
      </c>
    </row>
    <row r="95" spans="2:5" x14ac:dyDescent="0.25">
      <c r="E95" t="str">
        <f>Sheet1!S8</f>
        <v>&lt;selectorXSizeSysCarousel&gt;0.1933&lt;/selectorXSizeSysCarousel&gt;</v>
      </c>
    </row>
    <row r="96" spans="2:5" x14ac:dyDescent="0.25">
      <c r="E96" t="str">
        <f>Sheet1!S9</f>
        <v>&lt;sysNameXPos&gt;0.353540398660986&lt;/sysNameXPos&gt;</v>
      </c>
    </row>
    <row r="97" spans="3:5" x14ac:dyDescent="0.25">
      <c r="D97" t="s">
        <v>12</v>
      </c>
    </row>
    <row r="98" spans="3:5" x14ac:dyDescent="0.25">
      <c r="C98" t="s">
        <v>13</v>
      </c>
    </row>
    <row r="99" spans="3:5" x14ac:dyDescent="0.25">
      <c r="C99" t="s">
        <v>14</v>
      </c>
    </row>
    <row r="100" spans="3:5" x14ac:dyDescent="0.25">
      <c r="D100" t="s">
        <v>11</v>
      </c>
    </row>
    <row r="101" spans="3:5" x14ac:dyDescent="0.25">
      <c r="E101" t="str">
        <f>Sheet1!S21</f>
        <v>&lt;itemSizeSysCarousel&gt;0.1425 0.19&lt;/itemSizeSysCarousel&gt;</v>
      </c>
    </row>
    <row r="102" spans="3:5" x14ac:dyDescent="0.25">
      <c r="E102" t="str">
        <f>Sheet1!S22</f>
        <v>&lt;selectedItemMarginsSysCarousel&gt;0.035625 0.035625&lt;/selectedItemMarginsSysCarousel&gt;</v>
      </c>
    </row>
    <row r="103" spans="3:5" x14ac:dyDescent="0.25">
      <c r="E103" t="str">
        <f>Sheet1!S23</f>
        <v>&lt;maxItemCountSysCarousel&gt;6.61754385964912&lt;/maxItemCountSysCarousel&gt;</v>
      </c>
    </row>
    <row r="104" spans="3:5" x14ac:dyDescent="0.25">
      <c r="E104" t="str">
        <f>Sheet1!S24</f>
        <v>&lt;selectorXSizeSysCarousel&gt;0.2158&lt;/selectorXSizeSysCarousel&gt;</v>
      </c>
    </row>
    <row r="105" spans="3:5" x14ac:dyDescent="0.25">
      <c r="E105" t="str">
        <f>Sheet1!S25</f>
        <v>&lt;sysNameXPos&gt;0.367021783260462&lt;/sysNameXPos&gt;</v>
      </c>
    </row>
    <row r="106" spans="3:5" x14ac:dyDescent="0.25">
      <c r="D106" t="s">
        <v>12</v>
      </c>
    </row>
    <row r="107" spans="3:5" x14ac:dyDescent="0.25">
      <c r="C107" t="s">
        <v>13</v>
      </c>
    </row>
    <row r="108" spans="3:5" x14ac:dyDescent="0.25">
      <c r="C108" t="s">
        <v>15</v>
      </c>
    </row>
    <row r="109" spans="3:5" x14ac:dyDescent="0.25">
      <c r="D109" t="s">
        <v>11</v>
      </c>
    </row>
    <row r="110" spans="3:5" x14ac:dyDescent="0.25">
      <c r="E110" t="str">
        <f>Sheet1!S37</f>
        <v>&lt;itemSizeSysCarousel&gt;0.1575 0.21&lt;/itemSizeSysCarousel&gt;</v>
      </c>
    </row>
    <row r="111" spans="3:5" x14ac:dyDescent="0.25">
      <c r="E111" t="str">
        <f>Sheet1!S38</f>
        <v>&lt;selectedItemMarginsSysCarousel&gt;0.039375 0.039375&lt;/selectedItemMarginsSysCarousel&gt;</v>
      </c>
    </row>
    <row r="112" spans="3:5" x14ac:dyDescent="0.25">
      <c r="E112" t="str">
        <f>Sheet1!S39</f>
        <v>&lt;maxItemCountSysCarousel&gt;5.94920634920635&lt;/maxItemCountSysCarousel&gt;</v>
      </c>
    </row>
    <row r="113" spans="2:5" x14ac:dyDescent="0.25">
      <c r="E113" t="str">
        <f>Sheet1!S40</f>
        <v>&lt;selectorXSizeSysCarousel&gt;0.2383&lt;/selectorXSizeSysCarousel&gt;</v>
      </c>
    </row>
    <row r="114" spans="2:5" x14ac:dyDescent="0.25">
      <c r="E114" t="str">
        <f>Sheet1!S41</f>
        <v>&lt;sysNameXPos&gt;0.380854313662604&lt;/sysNameXPos&gt;</v>
      </c>
    </row>
    <row r="115" spans="2:5" x14ac:dyDescent="0.25">
      <c r="D115" t="s">
        <v>12</v>
      </c>
    </row>
    <row r="116" spans="2:5" x14ac:dyDescent="0.25">
      <c r="C116" t="s">
        <v>13</v>
      </c>
    </row>
    <row r="117" spans="2:5" x14ac:dyDescent="0.25">
      <c r="B117" t="s">
        <v>16</v>
      </c>
    </row>
    <row r="118" spans="2:5" x14ac:dyDescent="0.25">
      <c r="B118" t="s">
        <v>20</v>
      </c>
    </row>
    <row r="119" spans="2:5" x14ac:dyDescent="0.25">
      <c r="C119" t="s">
        <v>10</v>
      </c>
    </row>
    <row r="120" spans="2:5" x14ac:dyDescent="0.25">
      <c r="D120" t="s">
        <v>11</v>
      </c>
    </row>
    <row r="121" spans="2:5" x14ac:dyDescent="0.25">
      <c r="E121" t="str">
        <f>Sheet1!T5</f>
        <v>&lt;itemSizeSysCarousel&gt;0.113333333333333 0.17&lt;/itemSizeSysCarousel&gt;</v>
      </c>
    </row>
    <row r="122" spans="2:5" x14ac:dyDescent="0.25">
      <c r="E122" t="str">
        <f>Sheet1!T6</f>
        <v>&lt;selectedItemMarginsSysCarousel&gt;0.0283333333333333 0.0283333333333333&lt;/selectedItemMarginsSysCarousel&gt;</v>
      </c>
    </row>
    <row r="123" spans="2:5" x14ac:dyDescent="0.25">
      <c r="E123" t="str">
        <f>Sheet1!T7</f>
        <v>&lt;maxItemCountSysCarousel&gt;8.37352941176471&lt;/maxItemCountSysCarousel&gt;</v>
      </c>
    </row>
    <row r="124" spans="2:5" x14ac:dyDescent="0.25">
      <c r="E124" t="str">
        <f>Sheet1!T8</f>
        <v>&lt;selectorXSizeSysCarousel&gt;0.172&lt;/selectorXSizeSysCarousel&gt;</v>
      </c>
    </row>
    <row r="125" spans="2:5" x14ac:dyDescent="0.25">
      <c r="E125" t="str">
        <f>Sheet1!T9</f>
        <v>&lt;sysNameXPos&gt;0.341916633426406&lt;/sysNameXPos&gt;</v>
      </c>
    </row>
    <row r="126" spans="2:5" x14ac:dyDescent="0.25">
      <c r="D126" t="s">
        <v>12</v>
      </c>
    </row>
    <row r="127" spans="2:5" x14ac:dyDescent="0.25">
      <c r="C127" t="s">
        <v>13</v>
      </c>
    </row>
    <row r="128" spans="2:5" x14ac:dyDescent="0.25">
      <c r="C128" t="s">
        <v>14</v>
      </c>
    </row>
    <row r="129" spans="3:5" x14ac:dyDescent="0.25">
      <c r="D129" t="s">
        <v>11</v>
      </c>
    </row>
    <row r="130" spans="3:5" x14ac:dyDescent="0.25">
      <c r="E130" t="str">
        <f>Sheet1!T21</f>
        <v>&lt;itemSizeSysCarousel&gt;0.126666666666667 0.19&lt;/itemSizeSysCarousel&gt;</v>
      </c>
    </row>
    <row r="131" spans="3:5" x14ac:dyDescent="0.25">
      <c r="E131" t="str">
        <f>Sheet1!T22</f>
        <v>&lt;selectedItemMarginsSysCarousel&gt;0.0316666666666667 0.0316666666666667&lt;/selectedItemMarginsSysCarousel&gt;</v>
      </c>
    </row>
    <row r="132" spans="3:5" x14ac:dyDescent="0.25">
      <c r="E132" t="str">
        <f>Sheet1!T23</f>
        <v>&lt;maxItemCountSysCarousel&gt;7.44473684210526&lt;/maxItemCountSysCarousel&gt;</v>
      </c>
    </row>
    <row r="133" spans="3:5" x14ac:dyDescent="0.25">
      <c r="E133" t="str">
        <f>Sheet1!T24</f>
        <v>&lt;selectorXSizeSysCarousel&gt;0.192&lt;/selectorXSizeSysCarousel&gt;</v>
      </c>
    </row>
    <row r="134" spans="3:5" x14ac:dyDescent="0.25">
      <c r="E134" t="str">
        <f>Sheet1!T25</f>
        <v>&lt;sysNameXPos&gt;0.353844426296448&lt;/sysNameXPos&gt;</v>
      </c>
    </row>
    <row r="135" spans="3:5" x14ac:dyDescent="0.25">
      <c r="D135" t="s">
        <v>12</v>
      </c>
    </row>
    <row r="136" spans="3:5" x14ac:dyDescent="0.25">
      <c r="C136" t="s">
        <v>13</v>
      </c>
    </row>
    <row r="137" spans="3:5" x14ac:dyDescent="0.25">
      <c r="C137" t="s">
        <v>15</v>
      </c>
    </row>
    <row r="138" spans="3:5" x14ac:dyDescent="0.25">
      <c r="D138" t="s">
        <v>11</v>
      </c>
    </row>
    <row r="139" spans="3:5" x14ac:dyDescent="0.25">
      <c r="E139" t="str">
        <f>Sheet1!T37</f>
        <v>&lt;itemSizeSysCarousel&gt;0.14 0.21&lt;/itemSizeSysCarousel&gt;</v>
      </c>
    </row>
    <row r="140" spans="3:5" x14ac:dyDescent="0.25">
      <c r="E140" t="str">
        <f>Sheet1!T38</f>
        <v>&lt;selectedItemMarginsSysCarousel&gt;0.035 0.035&lt;/selectedItemMarginsSysCarousel&gt;</v>
      </c>
    </row>
    <row r="141" spans="3:5" x14ac:dyDescent="0.25">
      <c r="E141" t="str">
        <f>Sheet1!T39</f>
        <v>&lt;maxItemCountSysCarousel&gt;6.69285714285714&lt;/maxItemCountSysCarousel&gt;</v>
      </c>
    </row>
    <row r="142" spans="3:5" x14ac:dyDescent="0.25">
      <c r="E142" t="str">
        <f>Sheet1!T40</f>
        <v>&lt;selectorXSizeSysCarousel&gt;0.212&lt;/selectorXSizeSysCarousel&gt;</v>
      </c>
    </row>
    <row r="143" spans="3:5" x14ac:dyDescent="0.25">
      <c r="E143" t="str">
        <f>Sheet1!T41</f>
        <v>&lt;sysNameXPos&gt;0.366066499372647&lt;/sysNameXPos&gt;</v>
      </c>
    </row>
    <row r="144" spans="3:5" x14ac:dyDescent="0.25">
      <c r="D144" t="s">
        <v>12</v>
      </c>
    </row>
    <row r="145" spans="2:5" x14ac:dyDescent="0.25">
      <c r="C145" t="s">
        <v>13</v>
      </c>
    </row>
    <row r="146" spans="2:5" x14ac:dyDescent="0.25">
      <c r="B146" t="s">
        <v>16</v>
      </c>
    </row>
    <row r="147" spans="2:5" x14ac:dyDescent="0.25">
      <c r="B147" t="s">
        <v>21</v>
      </c>
    </row>
    <row r="148" spans="2:5" x14ac:dyDescent="0.25">
      <c r="C148" t="s">
        <v>10</v>
      </c>
    </row>
    <row r="149" spans="2:5" x14ac:dyDescent="0.25">
      <c r="D149" t="s">
        <v>11</v>
      </c>
    </row>
    <row r="150" spans="2:5" x14ac:dyDescent="0.25">
      <c r="E150" t="str">
        <f>Sheet1!U5</f>
        <v>&lt;itemSizeSysCarousel&gt;0.10625 0.17&lt;/itemSizeSysCarousel&gt;</v>
      </c>
    </row>
    <row r="151" spans="2:5" x14ac:dyDescent="0.25">
      <c r="E151" t="str">
        <f>Sheet1!U6</f>
        <v>&lt;selectedItemMarginsSysCarousel&gt;0.0265625 0.0265625&lt;/selectedItemMarginsSysCarousel&gt;</v>
      </c>
    </row>
    <row r="152" spans="2:5" x14ac:dyDescent="0.25">
      <c r="E152" t="str">
        <f>Sheet1!U7</f>
        <v>&lt;maxItemCountSysCarousel&gt;8.93176470588235&lt;/maxItemCountSysCarousel&gt;</v>
      </c>
    </row>
    <row r="153" spans="2:5" x14ac:dyDescent="0.25">
      <c r="E153" t="str">
        <f>Sheet1!U8</f>
        <v>&lt;selectorXSizeSysCarousel&gt;0.1614&lt;/selectorXSizeSysCarousel&gt;</v>
      </c>
    </row>
    <row r="154" spans="2:5" x14ac:dyDescent="0.25">
      <c r="E154" t="str">
        <f>Sheet1!U9</f>
        <v>&lt;sysNameXPos&gt;0.336117342776624&lt;/sysNameXPos&gt;</v>
      </c>
    </row>
    <row r="155" spans="2:5" x14ac:dyDescent="0.25">
      <c r="D155" t="s">
        <v>12</v>
      </c>
    </row>
    <row r="156" spans="2:5" x14ac:dyDescent="0.25">
      <c r="C156" t="s">
        <v>13</v>
      </c>
    </row>
    <row r="157" spans="2:5" x14ac:dyDescent="0.25">
      <c r="C157" t="s">
        <v>14</v>
      </c>
    </row>
    <row r="158" spans="2:5" x14ac:dyDescent="0.25">
      <c r="D158" t="s">
        <v>11</v>
      </c>
    </row>
    <row r="159" spans="2:5" x14ac:dyDescent="0.25">
      <c r="E159" t="str">
        <f>Sheet1!U21</f>
        <v>&lt;itemSizeSysCarousel&gt;0.11875 0.19&lt;/itemSizeSysCarousel&gt;</v>
      </c>
    </row>
    <row r="160" spans="2:5" x14ac:dyDescent="0.25">
      <c r="E160" t="str">
        <f>Sheet1!U22</f>
        <v>&lt;selectedItemMarginsSysCarousel&gt;0.0296875 0.0296875&lt;/selectedItemMarginsSysCarousel&gt;</v>
      </c>
    </row>
    <row r="161" spans="2:5" x14ac:dyDescent="0.25">
      <c r="E161" t="str">
        <f>Sheet1!U23</f>
        <v>&lt;maxItemCountSysCarousel&gt;7.94105263157895&lt;/maxItemCountSysCarousel&gt;</v>
      </c>
    </row>
    <row r="162" spans="2:5" x14ac:dyDescent="0.25">
      <c r="E162" t="str">
        <f>Sheet1!U24</f>
        <v>&lt;selectorXSizeSysCarousel&gt;0.1802&lt;/selectorXSizeSysCarousel&gt;</v>
      </c>
    </row>
    <row r="163" spans="2:5" x14ac:dyDescent="0.25">
      <c r="E163" t="str">
        <f>Sheet1!U25</f>
        <v>&lt;sysNameXPos&gt;0.347274510919017&lt;/sysNameXPos&gt;</v>
      </c>
    </row>
    <row r="164" spans="2:5" x14ac:dyDescent="0.25">
      <c r="D164" t="s">
        <v>12</v>
      </c>
    </row>
    <row r="165" spans="2:5" x14ac:dyDescent="0.25">
      <c r="C165" t="s">
        <v>13</v>
      </c>
    </row>
    <row r="166" spans="2:5" x14ac:dyDescent="0.25">
      <c r="C166" t="s">
        <v>15</v>
      </c>
    </row>
    <row r="167" spans="2:5" x14ac:dyDescent="0.25">
      <c r="D167" t="s">
        <v>11</v>
      </c>
    </row>
    <row r="168" spans="2:5" x14ac:dyDescent="0.25">
      <c r="E168" t="str">
        <f>Sheet1!U37</f>
        <v>&lt;itemSizeSysCarousel&gt;0.13125 0.21&lt;/itemSizeSysCarousel&gt;</v>
      </c>
    </row>
    <row r="169" spans="2:5" x14ac:dyDescent="0.25">
      <c r="E169" t="str">
        <f>Sheet1!U38</f>
        <v>&lt;selectedItemMarginsSysCarousel&gt;0.0328125 0.0328125&lt;/selectedItemMarginsSysCarousel&gt;</v>
      </c>
    </row>
    <row r="170" spans="2:5" x14ac:dyDescent="0.25">
      <c r="E170" t="str">
        <f>Sheet1!U39</f>
        <v>&lt;maxItemCountSysCarousel&gt;7.13904761904762&lt;/maxItemCountSysCarousel&gt;</v>
      </c>
    </row>
    <row r="171" spans="2:5" x14ac:dyDescent="0.25">
      <c r="E171" t="str">
        <f>Sheet1!U40</f>
        <v>&lt;selectorXSizeSysCarousel&gt;0.1989&lt;/selectorXSizeSysCarousel&gt;</v>
      </c>
    </row>
    <row r="172" spans="2:5" x14ac:dyDescent="0.25">
      <c r="E172" t="str">
        <f>Sheet1!U41</f>
        <v>&lt;sysNameXPos&gt;0.358699678094943&lt;/sysNameXPos&gt;</v>
      </c>
    </row>
    <row r="173" spans="2:5" x14ac:dyDescent="0.25">
      <c r="D173" t="s">
        <v>12</v>
      </c>
    </row>
    <row r="174" spans="2:5" x14ac:dyDescent="0.25">
      <c r="C174" t="s">
        <v>13</v>
      </c>
    </row>
    <row r="175" spans="2:5" x14ac:dyDescent="0.25">
      <c r="B175" t="s">
        <v>16</v>
      </c>
    </row>
    <row r="176" spans="2:5" x14ac:dyDescent="0.25">
      <c r="B176" t="s">
        <v>22</v>
      </c>
    </row>
    <row r="177" spans="3:5" x14ac:dyDescent="0.25">
      <c r="C177" t="s">
        <v>10</v>
      </c>
    </row>
    <row r="178" spans="3:5" x14ac:dyDescent="0.25">
      <c r="D178" t="s">
        <v>11</v>
      </c>
    </row>
    <row r="179" spans="3:5" x14ac:dyDescent="0.25">
      <c r="E179" t="str">
        <f>Sheet1!V5</f>
        <v>&lt;itemSizeSysCarousel&gt;0.095625 0.17&lt;/itemSizeSysCarousel&gt;</v>
      </c>
    </row>
    <row r="180" spans="3:5" x14ac:dyDescent="0.25">
      <c r="E180" t="str">
        <f>Sheet1!V6</f>
        <v>&lt;selectedItemMarginsSysCarousel&gt;0.02390625 0.02390625&lt;/selectedItemMarginsSysCarousel&gt;</v>
      </c>
    </row>
    <row r="181" spans="3:5" x14ac:dyDescent="0.25">
      <c r="E181" t="str">
        <f>Sheet1!V7</f>
        <v>&lt;maxItemCountSysCarousel&gt;9.92418300653595&lt;/maxItemCountSysCarousel&gt;</v>
      </c>
    </row>
    <row r="182" spans="3:5" x14ac:dyDescent="0.25">
      <c r="E182" t="str">
        <f>Sheet1!V8</f>
        <v>&lt;selectorXSizeSysCarousel&gt;0.1455&lt;/selectorXSizeSysCarousel&gt;</v>
      </c>
    </row>
    <row r="183" spans="3:5" x14ac:dyDescent="0.25">
      <c r="E183" t="str">
        <f>Sheet1!V9</f>
        <v>&lt;sysNameXPos&gt;0.327433558847224&lt;/sysNameXPos&gt;</v>
      </c>
    </row>
    <row r="184" spans="3:5" x14ac:dyDescent="0.25">
      <c r="D184" t="s">
        <v>12</v>
      </c>
    </row>
    <row r="185" spans="3:5" x14ac:dyDescent="0.25">
      <c r="C185" t="s">
        <v>13</v>
      </c>
    </row>
    <row r="186" spans="3:5" x14ac:dyDescent="0.25">
      <c r="C186" t="s">
        <v>14</v>
      </c>
    </row>
    <row r="187" spans="3:5" x14ac:dyDescent="0.25">
      <c r="D187" t="s">
        <v>11</v>
      </c>
    </row>
    <row r="188" spans="3:5" x14ac:dyDescent="0.25">
      <c r="E188" t="str">
        <f>Sheet1!V21</f>
        <v>&lt;itemSizeSysCarousel&gt;0.106875 0.19&lt;/itemSizeSysCarousel&gt;</v>
      </c>
    </row>
    <row r="189" spans="3:5" x14ac:dyDescent="0.25">
      <c r="E189" t="str">
        <f>Sheet1!V22</f>
        <v>&lt;selectedItemMarginsSysCarousel&gt;0.02671875 0.02671875&lt;/selectedItemMarginsSysCarousel&gt;</v>
      </c>
    </row>
    <row r="190" spans="3:5" x14ac:dyDescent="0.25">
      <c r="E190" t="str">
        <f>Sheet1!V23</f>
        <v>&lt;maxItemCountSysCarousel&gt;8.8233918128655&lt;/maxItemCountSysCarousel&gt;</v>
      </c>
    </row>
    <row r="191" spans="3:5" x14ac:dyDescent="0.25">
      <c r="E191" t="str">
        <f>Sheet1!V24</f>
        <v>&lt;selectorXSizeSysCarousel&gt;0.1624&lt;/selectorXSizeSysCarousel&gt;</v>
      </c>
    </row>
    <row r="192" spans="3:5" x14ac:dyDescent="0.25">
      <c r="E192" t="str">
        <f>Sheet1!V25</f>
        <v>&lt;sysNameXPos&gt;0.337442092427867&lt;/sysNameXPos&gt;</v>
      </c>
    </row>
    <row r="193" spans="2:5" x14ac:dyDescent="0.25">
      <c r="D193" t="s">
        <v>12</v>
      </c>
    </row>
    <row r="194" spans="2:5" x14ac:dyDescent="0.25">
      <c r="C194" t="s">
        <v>13</v>
      </c>
    </row>
    <row r="195" spans="2:5" x14ac:dyDescent="0.25">
      <c r="C195" t="s">
        <v>15</v>
      </c>
    </row>
    <row r="196" spans="2:5" x14ac:dyDescent="0.25">
      <c r="D196" t="s">
        <v>11</v>
      </c>
    </row>
    <row r="197" spans="2:5" x14ac:dyDescent="0.25">
      <c r="E197" t="str">
        <f>Sheet1!V37</f>
        <v>&lt;itemSizeSysCarousel&gt;0.118125 0.21&lt;/itemSizeSysCarousel&gt;</v>
      </c>
    </row>
    <row r="198" spans="2:5" x14ac:dyDescent="0.25">
      <c r="E198" t="str">
        <f>Sheet1!V38</f>
        <v>&lt;selectedItemMarginsSysCarousel&gt;0.02953125 0.02953125&lt;/selectedItemMarginsSysCarousel&gt;</v>
      </c>
    </row>
    <row r="199" spans="2:5" x14ac:dyDescent="0.25">
      <c r="E199" t="str">
        <f>Sheet1!V39</f>
        <v>&lt;maxItemCountSysCarousel&gt;7.93227513227513&lt;/maxItemCountSysCarousel&gt;</v>
      </c>
    </row>
    <row r="200" spans="2:5" x14ac:dyDescent="0.25">
      <c r="E200" t="str">
        <f>Sheet1!V40</f>
        <v>&lt;selectorXSizeSysCarousel&gt;0.1792&lt;/selectorXSizeSysCarousel&gt;</v>
      </c>
    </row>
    <row r="201" spans="2:5" x14ac:dyDescent="0.25">
      <c r="E201" t="str">
        <f>Sheet1!V41</f>
        <v>&lt;sysNameXPos&gt;0.347681675507556&lt;/sysNameXPos&gt;</v>
      </c>
    </row>
    <row r="202" spans="2:5" x14ac:dyDescent="0.25">
      <c r="D202" t="s">
        <v>12</v>
      </c>
    </row>
    <row r="203" spans="2:5" x14ac:dyDescent="0.25">
      <c r="C203" t="s">
        <v>13</v>
      </c>
    </row>
    <row r="204" spans="2:5" x14ac:dyDescent="0.25">
      <c r="B204" t="s">
        <v>16</v>
      </c>
    </row>
    <row r="205" spans="2:5" x14ac:dyDescent="0.25">
      <c r="B205" t="s">
        <v>23</v>
      </c>
    </row>
    <row r="206" spans="2:5" x14ac:dyDescent="0.25">
      <c r="C206" t="s">
        <v>10</v>
      </c>
    </row>
    <row r="207" spans="2:5" x14ac:dyDescent="0.25">
      <c r="D207" t="s">
        <v>11</v>
      </c>
    </row>
    <row r="208" spans="2:5" x14ac:dyDescent="0.25">
      <c r="E208" t="str">
        <f>Sheet1!W5</f>
        <v>&lt;itemSizeSysCarousel&gt;0.0784615384615385 0.17&lt;/itemSizeSysCarousel&gt;</v>
      </c>
    </row>
    <row r="209" spans="3:5" x14ac:dyDescent="0.25">
      <c r="E209" t="str">
        <f>Sheet1!W6</f>
        <v>&lt;selectedItemMarginsSysCarousel&gt;0.0196153846153846 0.0196153846153846&lt;/selectedItemMarginsSysCarousel&gt;</v>
      </c>
    </row>
    <row r="210" spans="3:5" x14ac:dyDescent="0.25">
      <c r="E210" t="str">
        <f>Sheet1!W7</f>
        <v>&lt;maxItemCountSysCarousel&gt;12.0950980392157&lt;/maxItemCountSysCarousel&gt;</v>
      </c>
    </row>
    <row r="211" spans="3:5" x14ac:dyDescent="0.25">
      <c r="E211" t="str">
        <f>Sheet1!W8</f>
        <v>&lt;selectorXSizeSysCarousel&gt;0.1197&lt;/selectorXSizeSysCarousel&gt;</v>
      </c>
    </row>
    <row r="212" spans="3:5" x14ac:dyDescent="0.25">
      <c r="E212" t="str">
        <f>Sheet1!W9</f>
        <v>&lt;sysNameXPos&gt;0.313442778393295&lt;/sysNameXPos&gt;</v>
      </c>
    </row>
    <row r="213" spans="3:5" x14ac:dyDescent="0.25">
      <c r="D213" t="s">
        <v>12</v>
      </c>
    </row>
    <row r="214" spans="3:5" x14ac:dyDescent="0.25">
      <c r="C214" t="s">
        <v>13</v>
      </c>
    </row>
    <row r="215" spans="3:5" x14ac:dyDescent="0.25">
      <c r="C215" t="s">
        <v>14</v>
      </c>
    </row>
    <row r="216" spans="3:5" x14ac:dyDescent="0.25">
      <c r="D216" t="s">
        <v>11</v>
      </c>
    </row>
    <row r="217" spans="3:5" x14ac:dyDescent="0.25">
      <c r="E217" t="str">
        <f>Sheet1!W21</f>
        <v>&lt;itemSizeSysCarousel&gt;0.0876923076923077 0.19&lt;/itemSizeSysCarousel&gt;</v>
      </c>
    </row>
    <row r="218" spans="3:5" x14ac:dyDescent="0.25">
      <c r="E218" t="str">
        <f>Sheet1!W22</f>
        <v>&lt;selectedItemMarginsSysCarousel&gt;0.0219230769230769 0.0219230769230769&lt;/selectedItemMarginsSysCarousel&gt;</v>
      </c>
    </row>
    <row r="219" spans="3:5" x14ac:dyDescent="0.25">
      <c r="E219" t="str">
        <f>Sheet1!W23</f>
        <v>&lt;maxItemCountSysCarousel&gt;10.7535087719298&lt;/maxItemCountSysCarousel&gt;</v>
      </c>
    </row>
    <row r="220" spans="3:5" x14ac:dyDescent="0.25">
      <c r="E220" t="str">
        <f>Sheet1!W24</f>
        <v>&lt;selectorXSizeSysCarousel&gt;0.1336&lt;/selectorXSizeSysCarousel&gt;</v>
      </c>
    </row>
    <row r="221" spans="3:5" x14ac:dyDescent="0.25">
      <c r="E221" t="str">
        <f>Sheet1!W25</f>
        <v>&lt;sysNameXPos&gt;0.321613281493217&lt;/sysNameXPos&gt;</v>
      </c>
    </row>
    <row r="222" spans="3:5" x14ac:dyDescent="0.25">
      <c r="D222" t="s">
        <v>12</v>
      </c>
    </row>
    <row r="223" spans="3:5" x14ac:dyDescent="0.25">
      <c r="C223" t="s">
        <v>13</v>
      </c>
    </row>
    <row r="224" spans="3:5" x14ac:dyDescent="0.25">
      <c r="C224" t="s">
        <v>15</v>
      </c>
    </row>
    <row r="225" spans="2:5" x14ac:dyDescent="0.25">
      <c r="D225" t="s">
        <v>11</v>
      </c>
    </row>
    <row r="226" spans="2:5" x14ac:dyDescent="0.25">
      <c r="E226" t="str">
        <f>Sheet1!W37</f>
        <v>&lt;itemSizeSysCarousel&gt;0.0969230769230769 0.21&lt;/itemSizeSysCarousel&gt;</v>
      </c>
    </row>
    <row r="227" spans="2:5" x14ac:dyDescent="0.25">
      <c r="E227" t="str">
        <f>Sheet1!W38</f>
        <v>&lt;selectedItemMarginsSysCarousel&gt;0.0242307692307692 0.0242307692307692&lt;/selectedItemMarginsSysCarousel&gt;</v>
      </c>
    </row>
    <row r="228" spans="2:5" x14ac:dyDescent="0.25">
      <c r="E228" t="str">
        <f>Sheet1!W39</f>
        <v>&lt;maxItemCountSysCarousel&gt;9.66746031746032&lt;/maxItemCountSysCarousel&gt;</v>
      </c>
    </row>
    <row r="229" spans="2:5" x14ac:dyDescent="0.25">
      <c r="E229" t="str">
        <f>Sheet1!W40</f>
        <v>&lt;selectorXSizeSysCarousel&gt;0.1474&lt;/selectorXSizeSysCarousel&gt;</v>
      </c>
    </row>
    <row r="230" spans="2:5" x14ac:dyDescent="0.25">
      <c r="E230" t="str">
        <f>Sheet1!W41</f>
        <v>&lt;sysNameXPos&gt;0.329960872842019&lt;/sysNameXPos&gt;</v>
      </c>
    </row>
    <row r="231" spans="2:5" x14ac:dyDescent="0.25">
      <c r="D231" t="s">
        <v>12</v>
      </c>
    </row>
    <row r="232" spans="2:5" x14ac:dyDescent="0.25">
      <c r="C232" t="s">
        <v>13</v>
      </c>
    </row>
    <row r="233" spans="2:5" x14ac:dyDescent="0.25">
      <c r="B233" t="s">
        <v>16</v>
      </c>
    </row>
    <row r="234" spans="2:5" x14ac:dyDescent="0.25">
      <c r="B234" t="s">
        <v>24</v>
      </c>
    </row>
    <row r="235" spans="2:5" x14ac:dyDescent="0.25">
      <c r="C235" t="s">
        <v>10</v>
      </c>
    </row>
    <row r="236" spans="2:5" x14ac:dyDescent="0.25">
      <c r="D236" t="s">
        <v>11</v>
      </c>
    </row>
    <row r="237" spans="2:5" x14ac:dyDescent="0.25">
      <c r="E237" t="str">
        <f>Sheet1!X5</f>
        <v>&lt;itemSizeSysCarousel&gt;0.0728571428571429 0.17&lt;/itemSizeSysCarousel&gt;</v>
      </c>
    </row>
    <row r="238" spans="2:5" x14ac:dyDescent="0.25">
      <c r="E238" t="str">
        <f>Sheet1!X6</f>
        <v>&lt;selectedItemMarginsSysCarousel&gt;0.0182142857142857 0.0182142857142857&lt;/selectedItemMarginsSysCarousel&gt;</v>
      </c>
    </row>
    <row r="239" spans="2:5" x14ac:dyDescent="0.25">
      <c r="E239" t="str">
        <f>Sheet1!X7</f>
        <v>&lt;maxItemCountSysCarousel&gt;13.0254901960784&lt;/maxItemCountSysCarousel&gt;</v>
      </c>
    </row>
    <row r="240" spans="2:5" x14ac:dyDescent="0.25">
      <c r="E240" t="str">
        <f>Sheet1!X8</f>
        <v>&lt;selectorXSizeSysCarousel&gt;0.1113&lt;/selectorXSizeSysCarousel&gt;</v>
      </c>
    </row>
    <row r="241" spans="3:5" x14ac:dyDescent="0.25">
      <c r="E241" t="str">
        <f>Sheet1!X9</f>
        <v>&lt;sysNameXPos&gt;0.308883848501083&lt;/sysNameXPos&gt;</v>
      </c>
    </row>
    <row r="242" spans="3:5" x14ac:dyDescent="0.25">
      <c r="D242" t="s">
        <v>12</v>
      </c>
    </row>
    <row r="243" spans="3:5" x14ac:dyDescent="0.25">
      <c r="C243" t="s">
        <v>13</v>
      </c>
    </row>
    <row r="244" spans="3:5" x14ac:dyDescent="0.25">
      <c r="C244" t="s">
        <v>14</v>
      </c>
    </row>
    <row r="245" spans="3:5" x14ac:dyDescent="0.25">
      <c r="D245" t="s">
        <v>11</v>
      </c>
    </row>
    <row r="246" spans="3:5" x14ac:dyDescent="0.25">
      <c r="E246" t="str">
        <f>Sheet1!X21</f>
        <v>&lt;itemSizeSysCarousel&gt;0.0814285714285714 0.19&lt;/itemSizeSysCarousel&gt;</v>
      </c>
    </row>
    <row r="247" spans="3:5" x14ac:dyDescent="0.25">
      <c r="E247" t="str">
        <f>Sheet1!X22</f>
        <v>&lt;selectedItemMarginsSysCarousel&gt;0.0203571428571429 0.0203571428571429&lt;/selectedItemMarginsSysCarousel&gt;</v>
      </c>
    </row>
    <row r="248" spans="3:5" x14ac:dyDescent="0.25">
      <c r="E248" t="str">
        <f>Sheet1!X23</f>
        <v>&lt;maxItemCountSysCarousel&gt;11.580701754386&lt;/maxItemCountSysCarousel&gt;</v>
      </c>
    </row>
    <row r="249" spans="3:5" x14ac:dyDescent="0.25">
      <c r="E249" t="str">
        <f>Sheet1!X24</f>
        <v>&lt;selectorXSizeSysCarousel&gt;0.1242&lt;/selectorXSizeSysCarousel&gt;</v>
      </c>
    </row>
    <row r="250" spans="3:5" x14ac:dyDescent="0.25">
      <c r="E250" t="str">
        <f>Sheet1!X25</f>
        <v>&lt;sysNameXPos&gt;0.31645859487884&lt;/sysNameXPos&gt;</v>
      </c>
    </row>
    <row r="251" spans="3:5" x14ac:dyDescent="0.25">
      <c r="D251" t="s">
        <v>12</v>
      </c>
    </row>
    <row r="252" spans="3:5" x14ac:dyDescent="0.25">
      <c r="C252" t="s">
        <v>13</v>
      </c>
    </row>
    <row r="253" spans="3:5" x14ac:dyDescent="0.25">
      <c r="C253" t="s">
        <v>15</v>
      </c>
    </row>
    <row r="254" spans="3:5" x14ac:dyDescent="0.25">
      <c r="D254" t="s">
        <v>11</v>
      </c>
    </row>
    <row r="255" spans="3:5" x14ac:dyDescent="0.25">
      <c r="E255" t="str">
        <f>Sheet1!X37</f>
        <v>&lt;itemSizeSysCarousel&gt;0.09 0.21&lt;/itemSizeSysCarousel&gt;</v>
      </c>
    </row>
    <row r="256" spans="3:5" x14ac:dyDescent="0.25">
      <c r="E256" t="str">
        <f>Sheet1!X38</f>
        <v>&lt;selectedItemMarginsSysCarousel&gt;0.0225 0.0225&lt;/selectedItemMarginsSysCarousel&gt;</v>
      </c>
    </row>
    <row r="257" spans="2:5" x14ac:dyDescent="0.25">
      <c r="E257" t="str">
        <f>Sheet1!X39</f>
        <v>&lt;maxItemCountSysCarousel&gt;10.4111111111111&lt;/maxItemCountSysCarousel&gt;</v>
      </c>
    </row>
    <row r="258" spans="2:5" x14ac:dyDescent="0.25">
      <c r="E258" t="str">
        <f>Sheet1!X40</f>
        <v>&lt;selectorXSizeSysCarousel&gt;0.137&lt;/selectorXSizeSysCarousel&gt;</v>
      </c>
    </row>
    <row r="259" spans="2:5" x14ac:dyDescent="0.25">
      <c r="E259" t="str">
        <f>Sheet1!X41</f>
        <v>&lt;sysNameXPos&gt;0.324194214876033&lt;/sysNameXPos&gt;</v>
      </c>
    </row>
    <row r="260" spans="2:5" x14ac:dyDescent="0.25">
      <c r="D260" t="s">
        <v>12</v>
      </c>
    </row>
    <row r="261" spans="2:5" x14ac:dyDescent="0.25">
      <c r="C261" t="s">
        <v>13</v>
      </c>
    </row>
    <row r="262" spans="2:5" x14ac:dyDescent="0.25">
      <c r="B262" t="s">
        <v>16</v>
      </c>
    </row>
    <row r="263" spans="2:5" x14ac:dyDescent="0.25">
      <c r="B263" t="s">
        <v>25</v>
      </c>
    </row>
    <row r="264" spans="2:5" x14ac:dyDescent="0.25">
      <c r="C264" t="s">
        <v>10</v>
      </c>
    </row>
    <row r="265" spans="2:5" x14ac:dyDescent="0.25">
      <c r="D265" t="s">
        <v>11</v>
      </c>
    </row>
    <row r="266" spans="2:5" x14ac:dyDescent="0.25">
      <c r="E266" t="str">
        <f>Sheet1!Y5</f>
        <v>&lt;itemSizeSysCarousel&gt;0.0478125 0.17&lt;/itemSizeSysCarousel&gt;</v>
      </c>
    </row>
    <row r="267" spans="2:5" x14ac:dyDescent="0.25">
      <c r="E267" t="str">
        <f>Sheet1!Y6</f>
        <v>&lt;selectedItemMarginsSysCarousel&gt;0.011953125 0.011953125&lt;/selectedItemMarginsSysCarousel&gt;</v>
      </c>
    </row>
    <row r="268" spans="2:5" x14ac:dyDescent="0.25">
      <c r="E268" t="str">
        <f>Sheet1!Y7</f>
        <v>&lt;maxItemCountSysCarousel&gt;19.8483660130719&lt;/maxItemCountSysCarousel&gt;</v>
      </c>
    </row>
    <row r="269" spans="2:5" x14ac:dyDescent="0.25">
      <c r="E269" t="str">
        <f>Sheet1!Y8</f>
        <v>&lt;selectorXSizeSysCarousel&gt;0.0738&lt;/selectorXSizeSysCarousel&gt;</v>
      </c>
    </row>
    <row r="270" spans="2:5" x14ac:dyDescent="0.25">
      <c r="E270" t="str">
        <f>Sheet1!Y9</f>
        <v>&lt;sysNameXPos&gt;0.288565179840835&lt;/sysNameXPos&gt;</v>
      </c>
    </row>
    <row r="271" spans="2:5" x14ac:dyDescent="0.25">
      <c r="D271" t="s">
        <v>12</v>
      </c>
    </row>
    <row r="272" spans="2:5" x14ac:dyDescent="0.25">
      <c r="C272" t="s">
        <v>13</v>
      </c>
    </row>
    <row r="273" spans="3:5" x14ac:dyDescent="0.25">
      <c r="C273" t="s">
        <v>14</v>
      </c>
    </row>
    <row r="274" spans="3:5" x14ac:dyDescent="0.25">
      <c r="D274" t="s">
        <v>11</v>
      </c>
    </row>
    <row r="275" spans="3:5" x14ac:dyDescent="0.25">
      <c r="E275" t="str">
        <f>Sheet1!Y21</f>
        <v>&lt;itemSizeSysCarousel&gt;0.0534375 0.19&lt;/itemSizeSysCarousel&gt;</v>
      </c>
    </row>
    <row r="276" spans="3:5" x14ac:dyDescent="0.25">
      <c r="E276" t="str">
        <f>Sheet1!Y22</f>
        <v>&lt;selectedItemMarginsSysCarousel&gt;0.013359375 0.013359375&lt;/selectedItemMarginsSysCarousel&gt;</v>
      </c>
    </row>
    <row r="277" spans="3:5" x14ac:dyDescent="0.25">
      <c r="E277" t="str">
        <f>Sheet1!Y23</f>
        <v>&lt;maxItemCountSysCarousel&gt;17.646783625731&lt;/maxItemCountSysCarousel&gt;</v>
      </c>
    </row>
    <row r="278" spans="3:5" x14ac:dyDescent="0.25">
      <c r="E278" t="str">
        <f>Sheet1!Y24</f>
        <v>&lt;selectorXSizeSysCarousel&gt;0.0822&lt;/selectorXSizeSysCarousel&gt;</v>
      </c>
    </row>
    <row r="279" spans="3:5" x14ac:dyDescent="0.25">
      <c r="E279" t="str">
        <f>Sheet1!Y25</f>
        <v>&lt;sysNameXPos&gt;0.293502209873182&lt;/sysNameXPos&gt;</v>
      </c>
    </row>
    <row r="280" spans="3:5" x14ac:dyDescent="0.25">
      <c r="D280" t="s">
        <v>12</v>
      </c>
    </row>
    <row r="281" spans="3:5" x14ac:dyDescent="0.25">
      <c r="C281" t="s">
        <v>13</v>
      </c>
    </row>
    <row r="282" spans="3:5" x14ac:dyDescent="0.25">
      <c r="C282" t="s">
        <v>15</v>
      </c>
    </row>
    <row r="283" spans="3:5" x14ac:dyDescent="0.25">
      <c r="D283" t="s">
        <v>11</v>
      </c>
    </row>
    <row r="284" spans="3:5" x14ac:dyDescent="0.25">
      <c r="E284" t="str">
        <f>Sheet1!Y37</f>
        <v>&lt;itemSizeSysCarousel&gt;0.0590625 0.21&lt;/itemSizeSysCarousel&gt;</v>
      </c>
    </row>
    <row r="285" spans="3:5" x14ac:dyDescent="0.25">
      <c r="E285" t="str">
        <f>Sheet1!Y38</f>
        <v>&lt;selectedItemMarginsSysCarousel&gt;0.014765625 0.014765625&lt;/selectedItemMarginsSysCarousel&gt;</v>
      </c>
    </row>
    <row r="286" spans="3:5" x14ac:dyDescent="0.25">
      <c r="E286" t="str">
        <f>Sheet1!Y39</f>
        <v>&lt;maxItemCountSysCarousel&gt;15.8645502645503&lt;/maxItemCountSysCarousel&gt;</v>
      </c>
    </row>
    <row r="287" spans="3:5" x14ac:dyDescent="0.25">
      <c r="E287" t="str">
        <f>Sheet1!Y40</f>
        <v>&lt;selectorXSizeSysCarousel&gt;0.0906&lt;/selectorXSizeSysCarousel&gt;</v>
      </c>
    </row>
    <row r="288" spans="3:5" x14ac:dyDescent="0.25">
      <c r="E288" t="str">
        <f>Sheet1!Y41</f>
        <v>&lt;sysNameXPos&gt;0.29853514651705&lt;/sysNameXPos&gt;</v>
      </c>
    </row>
    <row r="289" spans="1:4" x14ac:dyDescent="0.25">
      <c r="D289" t="s">
        <v>12</v>
      </c>
    </row>
    <row r="290" spans="1:4" x14ac:dyDescent="0.25">
      <c r="C290" t="s">
        <v>13</v>
      </c>
    </row>
    <row r="291" spans="1:4" x14ac:dyDescent="0.25">
      <c r="B291" t="s">
        <v>16</v>
      </c>
    </row>
    <row r="292" spans="1:4" x14ac:dyDescent="0.25">
      <c r="A29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xml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Ahrens</dc:creator>
  <cp:lastModifiedBy>Robert Ahrens</cp:lastModifiedBy>
  <dcterms:created xsi:type="dcterms:W3CDTF">2025-11-30T03:12:34Z</dcterms:created>
  <dcterms:modified xsi:type="dcterms:W3CDTF">2025-12-01T10:25:32Z</dcterms:modified>
</cp:coreProperties>
</file>