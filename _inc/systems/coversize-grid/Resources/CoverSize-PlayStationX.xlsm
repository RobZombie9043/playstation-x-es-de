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S-DE\ES-DE\themes\playstation-x-es-de\_inc\systems\coversize-grid\Resources\"/>
    </mc:Choice>
  </mc:AlternateContent>
  <xr:revisionPtr revIDLastSave="0" documentId="13_ncr:1_{4264B6BD-B239-445C-856C-468B00EE1ADB}" xr6:coauthVersionLast="47" xr6:coauthVersionMax="47" xr10:uidLastSave="{00000000-0000-0000-0000-000000000000}"/>
  <bookViews>
    <workbookView xWindow="-120" yWindow="-120" windowWidth="38640" windowHeight="15840" activeTab="1" xr2:uid="{827E44F2-C962-4892-B8CC-40A8B9142301}"/>
  </bookViews>
  <sheets>
    <sheet name="Sheet1" sheetId="1" r:id="rId1"/>
    <sheet name="xml" sheetId="3" r:id="rId2"/>
  </sheets>
  <definedNames>
    <definedName name="dropdownList" localSheetId="1">xml!$M$2</definedName>
    <definedName name="dropdown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0" i="1" l="1"/>
  <c r="N81" i="1"/>
  <c r="N9" i="1" s="1"/>
  <c r="N82" i="1"/>
  <c r="N182" i="1" s="1"/>
  <c r="N83" i="1"/>
  <c r="N11" i="1" s="1"/>
  <c r="N84" i="1"/>
  <c r="N85" i="1"/>
  <c r="N13" i="1" s="1"/>
  <c r="N86" i="1"/>
  <c r="N186" i="1" s="1"/>
  <c r="N87" i="1"/>
  <c r="N15" i="1" s="1"/>
  <c r="N88" i="1"/>
  <c r="N89" i="1"/>
  <c r="N17" i="1" s="1"/>
  <c r="N90" i="1"/>
  <c r="N190" i="1" s="1"/>
  <c r="N91" i="1"/>
  <c r="N19" i="1" s="1"/>
  <c r="N92" i="1"/>
  <c r="N93" i="1"/>
  <c r="N21" i="1" s="1"/>
  <c r="N94" i="1"/>
  <c r="N194" i="1" s="1"/>
  <c r="N95" i="1"/>
  <c r="N23" i="1" s="1"/>
  <c r="N79" i="1"/>
  <c r="E208" i="1"/>
  <c r="F208" i="1"/>
  <c r="G208" i="1"/>
  <c r="H208" i="1"/>
  <c r="I208" i="1"/>
  <c r="J208" i="1"/>
  <c r="K208" i="1"/>
  <c r="L208" i="1"/>
  <c r="M208" i="1"/>
  <c r="M232" i="1" s="1"/>
  <c r="Z280" i="1" s="1"/>
  <c r="E209" i="1"/>
  <c r="F209" i="1"/>
  <c r="G209" i="1"/>
  <c r="H209" i="1"/>
  <c r="I209" i="1"/>
  <c r="J209" i="1"/>
  <c r="K209" i="1"/>
  <c r="L209" i="1"/>
  <c r="M209" i="1"/>
  <c r="E210" i="1"/>
  <c r="F210" i="1"/>
  <c r="G210" i="1"/>
  <c r="H210" i="1"/>
  <c r="I210" i="1"/>
  <c r="J210" i="1"/>
  <c r="K210" i="1"/>
  <c r="L210" i="1"/>
  <c r="M210" i="1"/>
  <c r="M234" i="1" s="1"/>
  <c r="Z282" i="1" s="1"/>
  <c r="E211" i="1"/>
  <c r="F211" i="1"/>
  <c r="G211" i="1"/>
  <c r="H211" i="1"/>
  <c r="I211" i="1"/>
  <c r="J211" i="1"/>
  <c r="K211" i="1"/>
  <c r="L211" i="1"/>
  <c r="M211" i="1"/>
  <c r="E212" i="1"/>
  <c r="F212" i="1"/>
  <c r="G212" i="1"/>
  <c r="H212" i="1"/>
  <c r="I212" i="1"/>
  <c r="J212" i="1"/>
  <c r="K212" i="1"/>
  <c r="L212" i="1"/>
  <c r="M212" i="1"/>
  <c r="M236" i="1" s="1"/>
  <c r="Z284" i="1" s="1"/>
  <c r="E213" i="1"/>
  <c r="F213" i="1"/>
  <c r="G213" i="1"/>
  <c r="H213" i="1"/>
  <c r="I213" i="1"/>
  <c r="J213" i="1"/>
  <c r="K213" i="1"/>
  <c r="L213" i="1"/>
  <c r="M213" i="1"/>
  <c r="E214" i="1"/>
  <c r="F214" i="1"/>
  <c r="G214" i="1"/>
  <c r="H214" i="1"/>
  <c r="I214" i="1"/>
  <c r="J214" i="1"/>
  <c r="K214" i="1"/>
  <c r="L214" i="1"/>
  <c r="M214" i="1"/>
  <c r="M238" i="1" s="1"/>
  <c r="Z286" i="1" s="1"/>
  <c r="E215" i="1"/>
  <c r="F215" i="1"/>
  <c r="G215" i="1"/>
  <c r="H215" i="1"/>
  <c r="I215" i="1"/>
  <c r="J215" i="1"/>
  <c r="K215" i="1"/>
  <c r="L215" i="1"/>
  <c r="M215" i="1"/>
  <c r="E216" i="1"/>
  <c r="F216" i="1"/>
  <c r="G216" i="1"/>
  <c r="H216" i="1"/>
  <c r="I216" i="1"/>
  <c r="J216" i="1"/>
  <c r="K216" i="1"/>
  <c r="L216" i="1"/>
  <c r="M216" i="1"/>
  <c r="E217" i="1"/>
  <c r="F217" i="1"/>
  <c r="G217" i="1"/>
  <c r="H217" i="1"/>
  <c r="I217" i="1"/>
  <c r="J217" i="1"/>
  <c r="K217" i="1"/>
  <c r="L217" i="1"/>
  <c r="M217" i="1"/>
  <c r="E218" i="1"/>
  <c r="F218" i="1"/>
  <c r="G218" i="1"/>
  <c r="H218" i="1"/>
  <c r="I218" i="1"/>
  <c r="J218" i="1"/>
  <c r="K218" i="1"/>
  <c r="L218" i="1"/>
  <c r="M218" i="1"/>
  <c r="M242" i="1" s="1"/>
  <c r="Z290" i="1" s="1"/>
  <c r="E219" i="1"/>
  <c r="F219" i="1"/>
  <c r="G219" i="1"/>
  <c r="H219" i="1"/>
  <c r="I219" i="1"/>
  <c r="J219" i="1"/>
  <c r="K219" i="1"/>
  <c r="L219" i="1"/>
  <c r="M219" i="1"/>
  <c r="E220" i="1"/>
  <c r="F220" i="1"/>
  <c r="G220" i="1"/>
  <c r="H220" i="1"/>
  <c r="I220" i="1"/>
  <c r="J220" i="1"/>
  <c r="K220" i="1"/>
  <c r="L220" i="1"/>
  <c r="M220" i="1"/>
  <c r="M244" i="1" s="1"/>
  <c r="Z292" i="1" s="1"/>
  <c r="E221" i="1"/>
  <c r="F221" i="1"/>
  <c r="G221" i="1"/>
  <c r="H221" i="1"/>
  <c r="I221" i="1"/>
  <c r="J221" i="1"/>
  <c r="K221" i="1"/>
  <c r="L221" i="1"/>
  <c r="M221" i="1"/>
  <c r="E222" i="1"/>
  <c r="F222" i="1"/>
  <c r="G222" i="1"/>
  <c r="H222" i="1"/>
  <c r="I222" i="1"/>
  <c r="J222" i="1"/>
  <c r="K222" i="1"/>
  <c r="L222" i="1"/>
  <c r="M222" i="1"/>
  <c r="E223" i="1"/>
  <c r="F223" i="1"/>
  <c r="G223" i="1"/>
  <c r="H223" i="1"/>
  <c r="I223" i="1"/>
  <c r="J223" i="1"/>
  <c r="K223" i="1"/>
  <c r="L223" i="1"/>
  <c r="M223" i="1"/>
  <c r="F207" i="1"/>
  <c r="G207" i="1"/>
  <c r="H207" i="1"/>
  <c r="I207" i="1"/>
  <c r="J207" i="1"/>
  <c r="K207" i="1"/>
  <c r="L207" i="1"/>
  <c r="M207" i="1"/>
  <c r="N207" i="1"/>
  <c r="E207" i="1"/>
  <c r="E108" i="1"/>
  <c r="F108" i="1"/>
  <c r="G108" i="1"/>
  <c r="H108" i="1"/>
  <c r="I108" i="1"/>
  <c r="J108" i="1"/>
  <c r="K108" i="1"/>
  <c r="L108" i="1"/>
  <c r="M108" i="1"/>
  <c r="E109" i="1"/>
  <c r="F109" i="1"/>
  <c r="G109" i="1"/>
  <c r="H109" i="1"/>
  <c r="I109" i="1"/>
  <c r="J109" i="1"/>
  <c r="K109" i="1"/>
  <c r="L109" i="1"/>
  <c r="M109" i="1"/>
  <c r="E110" i="1"/>
  <c r="F110" i="1"/>
  <c r="G110" i="1"/>
  <c r="H110" i="1"/>
  <c r="I110" i="1"/>
  <c r="J110" i="1"/>
  <c r="K110" i="1"/>
  <c r="L110" i="1"/>
  <c r="M110" i="1"/>
  <c r="E111" i="1"/>
  <c r="F111" i="1"/>
  <c r="G111" i="1"/>
  <c r="H111" i="1"/>
  <c r="I111" i="1"/>
  <c r="J111" i="1"/>
  <c r="K111" i="1"/>
  <c r="L111" i="1"/>
  <c r="M111" i="1"/>
  <c r="E112" i="1"/>
  <c r="F112" i="1"/>
  <c r="G112" i="1"/>
  <c r="H112" i="1"/>
  <c r="I112" i="1"/>
  <c r="J112" i="1"/>
  <c r="K112" i="1"/>
  <c r="L112" i="1"/>
  <c r="M112" i="1"/>
  <c r="E113" i="1"/>
  <c r="F113" i="1"/>
  <c r="G113" i="1"/>
  <c r="H113" i="1"/>
  <c r="I113" i="1"/>
  <c r="J113" i="1"/>
  <c r="K113" i="1"/>
  <c r="L113" i="1"/>
  <c r="M113" i="1"/>
  <c r="E114" i="1"/>
  <c r="F114" i="1"/>
  <c r="G114" i="1"/>
  <c r="H114" i="1"/>
  <c r="I114" i="1"/>
  <c r="J114" i="1"/>
  <c r="K114" i="1"/>
  <c r="L114" i="1"/>
  <c r="M114" i="1"/>
  <c r="E115" i="1"/>
  <c r="F115" i="1"/>
  <c r="G115" i="1"/>
  <c r="H115" i="1"/>
  <c r="I115" i="1"/>
  <c r="J115" i="1"/>
  <c r="K115" i="1"/>
  <c r="L115" i="1"/>
  <c r="M115" i="1"/>
  <c r="E116" i="1"/>
  <c r="F116" i="1"/>
  <c r="G116" i="1"/>
  <c r="H116" i="1"/>
  <c r="I116" i="1"/>
  <c r="J116" i="1"/>
  <c r="K116" i="1"/>
  <c r="L116" i="1"/>
  <c r="M116" i="1"/>
  <c r="E117" i="1"/>
  <c r="F117" i="1"/>
  <c r="G117" i="1"/>
  <c r="H117" i="1"/>
  <c r="I117" i="1"/>
  <c r="J117" i="1"/>
  <c r="K117" i="1"/>
  <c r="L117" i="1"/>
  <c r="M117" i="1"/>
  <c r="E118" i="1"/>
  <c r="F118" i="1"/>
  <c r="G118" i="1"/>
  <c r="H118" i="1"/>
  <c r="I118" i="1"/>
  <c r="J118" i="1"/>
  <c r="K118" i="1"/>
  <c r="L118" i="1"/>
  <c r="M118" i="1"/>
  <c r="E119" i="1"/>
  <c r="F119" i="1"/>
  <c r="G119" i="1"/>
  <c r="H119" i="1"/>
  <c r="I119" i="1"/>
  <c r="J119" i="1"/>
  <c r="K119" i="1"/>
  <c r="L119" i="1"/>
  <c r="M119" i="1"/>
  <c r="E120" i="1"/>
  <c r="F120" i="1"/>
  <c r="G120" i="1"/>
  <c r="H120" i="1"/>
  <c r="I120" i="1"/>
  <c r="J120" i="1"/>
  <c r="K120" i="1"/>
  <c r="L120" i="1"/>
  <c r="M120" i="1"/>
  <c r="E121" i="1"/>
  <c r="F121" i="1"/>
  <c r="G121" i="1"/>
  <c r="H121" i="1"/>
  <c r="I121" i="1"/>
  <c r="J121" i="1"/>
  <c r="K121" i="1"/>
  <c r="L121" i="1"/>
  <c r="M121" i="1"/>
  <c r="E122" i="1"/>
  <c r="F122" i="1"/>
  <c r="G122" i="1"/>
  <c r="H122" i="1"/>
  <c r="I122" i="1"/>
  <c r="J122" i="1"/>
  <c r="K122" i="1"/>
  <c r="L122" i="1"/>
  <c r="M122" i="1"/>
  <c r="E123" i="1"/>
  <c r="F123" i="1"/>
  <c r="G123" i="1"/>
  <c r="H123" i="1"/>
  <c r="I123" i="1"/>
  <c r="J123" i="1"/>
  <c r="K123" i="1"/>
  <c r="L123" i="1"/>
  <c r="M123" i="1"/>
  <c r="F107" i="1"/>
  <c r="G107" i="1"/>
  <c r="H107" i="1"/>
  <c r="I107" i="1"/>
  <c r="J107" i="1"/>
  <c r="K107" i="1"/>
  <c r="L107" i="1"/>
  <c r="M107" i="1"/>
  <c r="N107" i="1"/>
  <c r="E107" i="1"/>
  <c r="E8" i="1"/>
  <c r="F8" i="1"/>
  <c r="G8" i="1"/>
  <c r="H8" i="1"/>
  <c r="I8" i="1"/>
  <c r="J8" i="1"/>
  <c r="K8" i="1"/>
  <c r="L8" i="1"/>
  <c r="M8" i="1"/>
  <c r="N8" i="1"/>
  <c r="E9" i="1"/>
  <c r="F9" i="1"/>
  <c r="G9" i="1"/>
  <c r="H9" i="1"/>
  <c r="I9" i="1"/>
  <c r="J9" i="1"/>
  <c r="K9" i="1"/>
  <c r="L9" i="1"/>
  <c r="M9" i="1"/>
  <c r="E10" i="1"/>
  <c r="F10" i="1"/>
  <c r="G10" i="1"/>
  <c r="H10" i="1"/>
  <c r="I10" i="1"/>
  <c r="J10" i="1"/>
  <c r="K10" i="1"/>
  <c r="L10" i="1"/>
  <c r="M10" i="1"/>
  <c r="N10" i="1"/>
  <c r="E11" i="1"/>
  <c r="F11" i="1"/>
  <c r="G11" i="1"/>
  <c r="H11" i="1"/>
  <c r="I11" i="1"/>
  <c r="J11" i="1"/>
  <c r="K11" i="1"/>
  <c r="L11" i="1"/>
  <c r="M11" i="1"/>
  <c r="E12" i="1"/>
  <c r="F12" i="1"/>
  <c r="G12" i="1"/>
  <c r="H12" i="1"/>
  <c r="I12" i="1"/>
  <c r="J12" i="1"/>
  <c r="K12" i="1"/>
  <c r="L12" i="1"/>
  <c r="M12" i="1"/>
  <c r="N12" i="1"/>
  <c r="E13" i="1"/>
  <c r="F13" i="1"/>
  <c r="G13" i="1"/>
  <c r="H13" i="1"/>
  <c r="I13" i="1"/>
  <c r="J13" i="1"/>
  <c r="K13" i="1"/>
  <c r="L13" i="1"/>
  <c r="M13" i="1"/>
  <c r="E14" i="1"/>
  <c r="F14" i="1"/>
  <c r="G14" i="1"/>
  <c r="H14" i="1"/>
  <c r="I14" i="1"/>
  <c r="J14" i="1"/>
  <c r="K14" i="1"/>
  <c r="L14" i="1"/>
  <c r="M14" i="1"/>
  <c r="N14" i="1"/>
  <c r="E15" i="1"/>
  <c r="F15" i="1"/>
  <c r="G15" i="1"/>
  <c r="H15" i="1"/>
  <c r="I15" i="1"/>
  <c r="J15" i="1"/>
  <c r="K15" i="1"/>
  <c r="L15" i="1"/>
  <c r="M15" i="1"/>
  <c r="E16" i="1"/>
  <c r="F16" i="1"/>
  <c r="G16" i="1"/>
  <c r="H16" i="1"/>
  <c r="I16" i="1"/>
  <c r="J16" i="1"/>
  <c r="K16" i="1"/>
  <c r="L16" i="1"/>
  <c r="M16" i="1"/>
  <c r="N16" i="1"/>
  <c r="E17" i="1"/>
  <c r="F17" i="1"/>
  <c r="G17" i="1"/>
  <c r="H17" i="1"/>
  <c r="I17" i="1"/>
  <c r="J17" i="1"/>
  <c r="K17" i="1"/>
  <c r="L17" i="1"/>
  <c r="M17" i="1"/>
  <c r="E18" i="1"/>
  <c r="F18" i="1"/>
  <c r="G18" i="1"/>
  <c r="H18" i="1"/>
  <c r="I18" i="1"/>
  <c r="J18" i="1"/>
  <c r="K18" i="1"/>
  <c r="L18" i="1"/>
  <c r="M18" i="1"/>
  <c r="N18" i="1"/>
  <c r="E19" i="1"/>
  <c r="F19" i="1"/>
  <c r="G19" i="1"/>
  <c r="H19" i="1"/>
  <c r="I19" i="1"/>
  <c r="J19" i="1"/>
  <c r="K19" i="1"/>
  <c r="L19" i="1"/>
  <c r="M19" i="1"/>
  <c r="E20" i="1"/>
  <c r="F20" i="1"/>
  <c r="G20" i="1"/>
  <c r="H20" i="1"/>
  <c r="I20" i="1"/>
  <c r="J20" i="1"/>
  <c r="K20" i="1"/>
  <c r="L20" i="1"/>
  <c r="M20" i="1"/>
  <c r="N20" i="1"/>
  <c r="E21" i="1"/>
  <c r="F21" i="1"/>
  <c r="G21" i="1"/>
  <c r="H21" i="1"/>
  <c r="I21" i="1"/>
  <c r="J21" i="1"/>
  <c r="K21" i="1"/>
  <c r="L21" i="1"/>
  <c r="M21" i="1"/>
  <c r="E22" i="1"/>
  <c r="F22" i="1"/>
  <c r="G22" i="1"/>
  <c r="H22" i="1"/>
  <c r="I22" i="1"/>
  <c r="J22" i="1"/>
  <c r="K22" i="1"/>
  <c r="L22" i="1"/>
  <c r="M22" i="1"/>
  <c r="N22" i="1"/>
  <c r="E23" i="1"/>
  <c r="F23" i="1"/>
  <c r="G23" i="1"/>
  <c r="H23" i="1"/>
  <c r="I23" i="1"/>
  <c r="J23" i="1"/>
  <c r="K23" i="1"/>
  <c r="L23" i="1"/>
  <c r="M23" i="1"/>
  <c r="F7" i="1"/>
  <c r="G7" i="1"/>
  <c r="H7" i="1"/>
  <c r="I7" i="1"/>
  <c r="J7" i="1"/>
  <c r="K7" i="1"/>
  <c r="L7" i="1"/>
  <c r="M7" i="1"/>
  <c r="N7" i="1"/>
  <c r="E7" i="1"/>
  <c r="M132" i="1"/>
  <c r="Z180" i="1" s="1"/>
  <c r="M136" i="1"/>
  <c r="Z184" i="1" s="1"/>
  <c r="M142" i="1"/>
  <c r="Z190" i="1" s="1"/>
  <c r="M146" i="1"/>
  <c r="Z194" i="1" s="1"/>
  <c r="C183" i="3"/>
  <c r="C163" i="3"/>
  <c r="C143" i="3"/>
  <c r="C123" i="3"/>
  <c r="C103" i="3"/>
  <c r="C83" i="3"/>
  <c r="C175" i="3"/>
  <c r="C169" i="3"/>
  <c r="C63" i="3"/>
  <c r="C43" i="3"/>
  <c r="C23" i="3"/>
  <c r="M280" i="1"/>
  <c r="N280" i="1"/>
  <c r="N208" i="1" s="1"/>
  <c r="N232" i="1" s="1"/>
  <c r="AA280" i="1" s="1"/>
  <c r="M281" i="1"/>
  <c r="M282" i="1"/>
  <c r="M283" i="1"/>
  <c r="M284" i="1"/>
  <c r="N284" i="1"/>
  <c r="N212" i="1" s="1"/>
  <c r="N236" i="1" s="1"/>
  <c r="AA284" i="1" s="1"/>
  <c r="M285" i="1"/>
  <c r="M286" i="1"/>
  <c r="M287" i="1"/>
  <c r="M288" i="1"/>
  <c r="N288" i="1"/>
  <c r="N216" i="1" s="1"/>
  <c r="N240" i="1" s="1"/>
  <c r="AA288" i="1" s="1"/>
  <c r="M289" i="1"/>
  <c r="M290" i="1"/>
  <c r="M291" i="1"/>
  <c r="M292" i="1"/>
  <c r="N292" i="1"/>
  <c r="N220" i="1" s="1"/>
  <c r="N244" i="1" s="1"/>
  <c r="AA292" i="1" s="1"/>
  <c r="M293" i="1"/>
  <c r="M294" i="1"/>
  <c r="M29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N255" i="1"/>
  <c r="M240" i="1"/>
  <c r="Z288" i="1" s="1"/>
  <c r="M246" i="1"/>
  <c r="Z294" i="1" s="1"/>
  <c r="M180" i="1"/>
  <c r="N180" i="1"/>
  <c r="N108" i="1" s="1"/>
  <c r="N132" i="1" s="1"/>
  <c r="AA180" i="1" s="1"/>
  <c r="M181" i="1"/>
  <c r="N181" i="1"/>
  <c r="N281" i="1" s="1"/>
  <c r="N209" i="1" s="1"/>
  <c r="M182" i="1"/>
  <c r="M183" i="1"/>
  <c r="N183" i="1"/>
  <c r="N283" i="1" s="1"/>
  <c r="N211" i="1" s="1"/>
  <c r="M184" i="1"/>
  <c r="N184" i="1"/>
  <c r="N112" i="1" s="1"/>
  <c r="N136" i="1" s="1"/>
  <c r="AA184" i="1" s="1"/>
  <c r="M185" i="1"/>
  <c r="N185" i="1"/>
  <c r="N285" i="1" s="1"/>
  <c r="N213" i="1" s="1"/>
  <c r="M186" i="1"/>
  <c r="M187" i="1"/>
  <c r="N187" i="1"/>
  <c r="N287" i="1" s="1"/>
  <c r="N215" i="1" s="1"/>
  <c r="M188" i="1"/>
  <c r="N188" i="1"/>
  <c r="N116" i="1" s="1"/>
  <c r="N140" i="1" s="1"/>
  <c r="AA188" i="1" s="1"/>
  <c r="M189" i="1"/>
  <c r="N189" i="1"/>
  <c r="N289" i="1" s="1"/>
  <c r="N217" i="1" s="1"/>
  <c r="M190" i="1"/>
  <c r="M191" i="1"/>
  <c r="N191" i="1"/>
  <c r="N291" i="1" s="1"/>
  <c r="N219" i="1" s="1"/>
  <c r="M192" i="1"/>
  <c r="N192" i="1"/>
  <c r="N120" i="1" s="1"/>
  <c r="N144" i="1" s="1"/>
  <c r="AA192" i="1" s="1"/>
  <c r="M193" i="1"/>
  <c r="N193" i="1"/>
  <c r="N293" i="1" s="1"/>
  <c r="N221" i="1" s="1"/>
  <c r="M194" i="1"/>
  <c r="M195" i="1"/>
  <c r="N195" i="1"/>
  <c r="N295" i="1" s="1"/>
  <c r="N223" i="1" s="1"/>
  <c r="N179" i="1"/>
  <c r="N279" i="1" s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N155" i="1"/>
  <c r="M134" i="1"/>
  <c r="Z182" i="1" s="1"/>
  <c r="M138" i="1"/>
  <c r="Z186" i="1" s="1"/>
  <c r="M140" i="1"/>
  <c r="Z188" i="1" s="1"/>
  <c r="M144" i="1"/>
  <c r="Z192" i="1" s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N55" i="1"/>
  <c r="C3" i="3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F271" i="1"/>
  <c r="L271" i="1"/>
  <c r="K271" i="1"/>
  <c r="J271" i="1"/>
  <c r="I271" i="1"/>
  <c r="H271" i="1"/>
  <c r="G271" i="1"/>
  <c r="E271" i="1"/>
  <c r="A271" i="1"/>
  <c r="F270" i="1"/>
  <c r="L270" i="1"/>
  <c r="K270" i="1"/>
  <c r="J270" i="1"/>
  <c r="I270" i="1"/>
  <c r="H270" i="1"/>
  <c r="G270" i="1"/>
  <c r="E270" i="1"/>
  <c r="A270" i="1"/>
  <c r="F269" i="1"/>
  <c r="L269" i="1"/>
  <c r="K269" i="1"/>
  <c r="J269" i="1"/>
  <c r="I269" i="1"/>
  <c r="H269" i="1"/>
  <c r="G269" i="1"/>
  <c r="E269" i="1"/>
  <c r="A269" i="1"/>
  <c r="F268" i="1"/>
  <c r="L268" i="1"/>
  <c r="K268" i="1"/>
  <c r="J268" i="1"/>
  <c r="I268" i="1"/>
  <c r="H268" i="1"/>
  <c r="G268" i="1"/>
  <c r="E268" i="1"/>
  <c r="A268" i="1"/>
  <c r="F267" i="1"/>
  <c r="L267" i="1"/>
  <c r="K267" i="1"/>
  <c r="J267" i="1"/>
  <c r="I267" i="1"/>
  <c r="H267" i="1"/>
  <c r="G267" i="1"/>
  <c r="E267" i="1"/>
  <c r="A267" i="1"/>
  <c r="F266" i="1"/>
  <c r="L266" i="1"/>
  <c r="K266" i="1"/>
  <c r="J266" i="1"/>
  <c r="I266" i="1"/>
  <c r="H266" i="1"/>
  <c r="G266" i="1"/>
  <c r="E266" i="1"/>
  <c r="A266" i="1"/>
  <c r="F265" i="1"/>
  <c r="L265" i="1"/>
  <c r="K265" i="1"/>
  <c r="J265" i="1"/>
  <c r="I265" i="1"/>
  <c r="H265" i="1"/>
  <c r="G265" i="1"/>
  <c r="E265" i="1"/>
  <c r="A265" i="1"/>
  <c r="F264" i="1"/>
  <c r="L264" i="1"/>
  <c r="K264" i="1"/>
  <c r="J264" i="1"/>
  <c r="I264" i="1"/>
  <c r="H264" i="1"/>
  <c r="G264" i="1"/>
  <c r="E264" i="1"/>
  <c r="A264" i="1"/>
  <c r="F263" i="1"/>
  <c r="L263" i="1"/>
  <c r="K263" i="1"/>
  <c r="J263" i="1"/>
  <c r="I263" i="1"/>
  <c r="H263" i="1"/>
  <c r="G263" i="1"/>
  <c r="E263" i="1"/>
  <c r="A263" i="1"/>
  <c r="F262" i="1"/>
  <c r="L262" i="1"/>
  <c r="K262" i="1"/>
  <c r="J262" i="1"/>
  <c r="I262" i="1"/>
  <c r="H262" i="1"/>
  <c r="G262" i="1"/>
  <c r="E262" i="1"/>
  <c r="A262" i="1"/>
  <c r="F261" i="1"/>
  <c r="L261" i="1"/>
  <c r="K261" i="1"/>
  <c r="J261" i="1"/>
  <c r="I261" i="1"/>
  <c r="H261" i="1"/>
  <c r="G261" i="1"/>
  <c r="E261" i="1"/>
  <c r="A261" i="1"/>
  <c r="F260" i="1"/>
  <c r="L260" i="1"/>
  <c r="K260" i="1"/>
  <c r="J260" i="1"/>
  <c r="I260" i="1"/>
  <c r="H260" i="1"/>
  <c r="G260" i="1"/>
  <c r="E260" i="1"/>
  <c r="A260" i="1"/>
  <c r="F259" i="1"/>
  <c r="L259" i="1"/>
  <c r="K259" i="1"/>
  <c r="J259" i="1"/>
  <c r="I259" i="1"/>
  <c r="H259" i="1"/>
  <c r="G259" i="1"/>
  <c r="E259" i="1"/>
  <c r="A259" i="1"/>
  <c r="F258" i="1"/>
  <c r="L258" i="1"/>
  <c r="K258" i="1"/>
  <c r="J258" i="1"/>
  <c r="I258" i="1"/>
  <c r="H258" i="1"/>
  <c r="G258" i="1"/>
  <c r="E258" i="1"/>
  <c r="A258" i="1"/>
  <c r="F257" i="1"/>
  <c r="L257" i="1"/>
  <c r="K257" i="1"/>
  <c r="J257" i="1"/>
  <c r="I257" i="1"/>
  <c r="H257" i="1"/>
  <c r="G257" i="1"/>
  <c r="E257" i="1"/>
  <c r="A257" i="1"/>
  <c r="F256" i="1"/>
  <c r="L256" i="1"/>
  <c r="K256" i="1"/>
  <c r="J256" i="1"/>
  <c r="I256" i="1"/>
  <c r="H256" i="1"/>
  <c r="G256" i="1"/>
  <c r="E256" i="1"/>
  <c r="A256" i="1"/>
  <c r="F255" i="1"/>
  <c r="M255" i="1"/>
  <c r="L255" i="1"/>
  <c r="K255" i="1"/>
  <c r="J255" i="1"/>
  <c r="I255" i="1"/>
  <c r="H255" i="1"/>
  <c r="G255" i="1"/>
  <c r="E255" i="1"/>
  <c r="A255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C35" i="3"/>
  <c r="C195" i="3"/>
  <c r="C155" i="3"/>
  <c r="C135" i="3"/>
  <c r="C115" i="3"/>
  <c r="C95" i="3"/>
  <c r="C75" i="3"/>
  <c r="C55" i="3"/>
  <c r="C29" i="3"/>
  <c r="C189" i="3"/>
  <c r="C149" i="3"/>
  <c r="C129" i="3"/>
  <c r="C109" i="3"/>
  <c r="C89" i="3"/>
  <c r="C69" i="3"/>
  <c r="C49" i="3"/>
  <c r="C15" i="3"/>
  <c r="C9" i="3"/>
  <c r="Q6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55" i="1"/>
  <c r="E156" i="1"/>
  <c r="G156" i="1"/>
  <c r="H156" i="1"/>
  <c r="I156" i="1"/>
  <c r="J156" i="1"/>
  <c r="K156" i="1"/>
  <c r="L156" i="1"/>
  <c r="E157" i="1"/>
  <c r="G157" i="1"/>
  <c r="H157" i="1"/>
  <c r="I157" i="1"/>
  <c r="J157" i="1"/>
  <c r="K157" i="1"/>
  <c r="L157" i="1"/>
  <c r="E158" i="1"/>
  <c r="G158" i="1"/>
  <c r="H158" i="1"/>
  <c r="I158" i="1"/>
  <c r="J158" i="1"/>
  <c r="K158" i="1"/>
  <c r="L158" i="1"/>
  <c r="E159" i="1"/>
  <c r="G159" i="1"/>
  <c r="H159" i="1"/>
  <c r="I159" i="1"/>
  <c r="J159" i="1"/>
  <c r="K159" i="1"/>
  <c r="L159" i="1"/>
  <c r="E160" i="1"/>
  <c r="G160" i="1"/>
  <c r="H160" i="1"/>
  <c r="I160" i="1"/>
  <c r="J160" i="1"/>
  <c r="K160" i="1"/>
  <c r="L160" i="1"/>
  <c r="E161" i="1"/>
  <c r="G161" i="1"/>
  <c r="H161" i="1"/>
  <c r="I161" i="1"/>
  <c r="J161" i="1"/>
  <c r="K161" i="1"/>
  <c r="L161" i="1"/>
  <c r="E162" i="1"/>
  <c r="G162" i="1"/>
  <c r="H162" i="1"/>
  <c r="I162" i="1"/>
  <c r="J162" i="1"/>
  <c r="K162" i="1"/>
  <c r="L162" i="1"/>
  <c r="E163" i="1"/>
  <c r="G163" i="1"/>
  <c r="H163" i="1"/>
  <c r="I163" i="1"/>
  <c r="J163" i="1"/>
  <c r="K163" i="1"/>
  <c r="L163" i="1"/>
  <c r="E164" i="1"/>
  <c r="G164" i="1"/>
  <c r="H164" i="1"/>
  <c r="I164" i="1"/>
  <c r="J164" i="1"/>
  <c r="K164" i="1"/>
  <c r="L164" i="1"/>
  <c r="E165" i="1"/>
  <c r="G165" i="1"/>
  <c r="H165" i="1"/>
  <c r="I165" i="1"/>
  <c r="J165" i="1"/>
  <c r="K165" i="1"/>
  <c r="L165" i="1"/>
  <c r="E166" i="1"/>
  <c r="G166" i="1"/>
  <c r="H166" i="1"/>
  <c r="I166" i="1"/>
  <c r="J166" i="1"/>
  <c r="K166" i="1"/>
  <c r="L166" i="1"/>
  <c r="E167" i="1"/>
  <c r="G167" i="1"/>
  <c r="H167" i="1"/>
  <c r="I167" i="1"/>
  <c r="J167" i="1"/>
  <c r="K167" i="1"/>
  <c r="L167" i="1"/>
  <c r="E168" i="1"/>
  <c r="G168" i="1"/>
  <c r="H168" i="1"/>
  <c r="I168" i="1"/>
  <c r="J168" i="1"/>
  <c r="K168" i="1"/>
  <c r="L168" i="1"/>
  <c r="E169" i="1"/>
  <c r="G169" i="1"/>
  <c r="H169" i="1"/>
  <c r="I169" i="1"/>
  <c r="J169" i="1"/>
  <c r="K169" i="1"/>
  <c r="L169" i="1"/>
  <c r="E170" i="1"/>
  <c r="G170" i="1"/>
  <c r="H170" i="1"/>
  <c r="I170" i="1"/>
  <c r="J170" i="1"/>
  <c r="K170" i="1"/>
  <c r="L170" i="1"/>
  <c r="E171" i="1"/>
  <c r="G171" i="1"/>
  <c r="H171" i="1"/>
  <c r="I171" i="1"/>
  <c r="J171" i="1"/>
  <c r="K171" i="1"/>
  <c r="L171" i="1"/>
  <c r="G155" i="1"/>
  <c r="H155" i="1"/>
  <c r="I155" i="1"/>
  <c r="J155" i="1"/>
  <c r="K155" i="1"/>
  <c r="L155" i="1"/>
  <c r="M155" i="1"/>
  <c r="E155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95" i="1"/>
  <c r="F95" i="1" s="1"/>
  <c r="F195" i="1" s="1"/>
  <c r="A94" i="1"/>
  <c r="J94" i="1" s="1"/>
  <c r="A93" i="1"/>
  <c r="H93" i="1" s="1"/>
  <c r="A92" i="1"/>
  <c r="H92" i="1" s="1"/>
  <c r="A91" i="1"/>
  <c r="L91" i="1" s="1"/>
  <c r="A90" i="1"/>
  <c r="A89" i="1"/>
  <c r="M89" i="1" s="1"/>
  <c r="A88" i="1"/>
  <c r="I88" i="1" s="1"/>
  <c r="I188" i="1" s="1"/>
  <c r="I288" i="1" s="1"/>
  <c r="I240" i="1" s="1"/>
  <c r="V288" i="1" s="1"/>
  <c r="A87" i="1"/>
  <c r="J87" i="1" s="1"/>
  <c r="A86" i="1"/>
  <c r="K86" i="1" s="1"/>
  <c r="A85" i="1"/>
  <c r="G85" i="1" s="1"/>
  <c r="A84" i="1"/>
  <c r="H84" i="1" s="1"/>
  <c r="A83" i="1"/>
  <c r="J83" i="1" s="1"/>
  <c r="J183" i="1" s="1"/>
  <c r="A82" i="1"/>
  <c r="M82" i="1" s="1"/>
  <c r="A81" i="1"/>
  <c r="I81" i="1" s="1"/>
  <c r="A80" i="1"/>
  <c r="H80" i="1" s="1"/>
  <c r="H180" i="1" s="1"/>
  <c r="H280" i="1" s="1"/>
  <c r="A79" i="1"/>
  <c r="E79" i="1" s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E56" i="1"/>
  <c r="G56" i="1"/>
  <c r="H56" i="1"/>
  <c r="I56" i="1"/>
  <c r="J56" i="1"/>
  <c r="K56" i="1"/>
  <c r="L56" i="1"/>
  <c r="E57" i="1"/>
  <c r="G57" i="1"/>
  <c r="H57" i="1"/>
  <c r="I57" i="1"/>
  <c r="J57" i="1"/>
  <c r="K57" i="1"/>
  <c r="L57" i="1"/>
  <c r="E58" i="1"/>
  <c r="G58" i="1"/>
  <c r="H58" i="1"/>
  <c r="I58" i="1"/>
  <c r="J58" i="1"/>
  <c r="K58" i="1"/>
  <c r="L58" i="1"/>
  <c r="E59" i="1"/>
  <c r="G59" i="1"/>
  <c r="H59" i="1"/>
  <c r="I59" i="1"/>
  <c r="J59" i="1"/>
  <c r="K59" i="1"/>
  <c r="L59" i="1"/>
  <c r="E60" i="1"/>
  <c r="G60" i="1"/>
  <c r="H60" i="1"/>
  <c r="I60" i="1"/>
  <c r="J60" i="1"/>
  <c r="K60" i="1"/>
  <c r="L60" i="1"/>
  <c r="E61" i="1"/>
  <c r="G61" i="1"/>
  <c r="H61" i="1"/>
  <c r="I61" i="1"/>
  <c r="J61" i="1"/>
  <c r="K61" i="1"/>
  <c r="L61" i="1"/>
  <c r="E62" i="1"/>
  <c r="G62" i="1"/>
  <c r="H62" i="1"/>
  <c r="I62" i="1"/>
  <c r="J62" i="1"/>
  <c r="K62" i="1"/>
  <c r="L62" i="1"/>
  <c r="E63" i="1"/>
  <c r="G63" i="1"/>
  <c r="H63" i="1"/>
  <c r="I63" i="1"/>
  <c r="J63" i="1"/>
  <c r="K63" i="1"/>
  <c r="L63" i="1"/>
  <c r="E64" i="1"/>
  <c r="G64" i="1"/>
  <c r="H64" i="1"/>
  <c r="I64" i="1"/>
  <c r="J64" i="1"/>
  <c r="K64" i="1"/>
  <c r="L64" i="1"/>
  <c r="E65" i="1"/>
  <c r="G65" i="1"/>
  <c r="H65" i="1"/>
  <c r="I65" i="1"/>
  <c r="J65" i="1"/>
  <c r="K65" i="1"/>
  <c r="L65" i="1"/>
  <c r="E66" i="1"/>
  <c r="G66" i="1"/>
  <c r="H66" i="1"/>
  <c r="I66" i="1"/>
  <c r="J66" i="1"/>
  <c r="K66" i="1"/>
  <c r="L66" i="1"/>
  <c r="E67" i="1"/>
  <c r="G67" i="1"/>
  <c r="H67" i="1"/>
  <c r="I67" i="1"/>
  <c r="J67" i="1"/>
  <c r="K67" i="1"/>
  <c r="L67" i="1"/>
  <c r="E68" i="1"/>
  <c r="G68" i="1"/>
  <c r="H68" i="1"/>
  <c r="I68" i="1"/>
  <c r="J68" i="1"/>
  <c r="K68" i="1"/>
  <c r="L68" i="1"/>
  <c r="E69" i="1"/>
  <c r="G69" i="1"/>
  <c r="H69" i="1"/>
  <c r="I69" i="1"/>
  <c r="J69" i="1"/>
  <c r="K69" i="1"/>
  <c r="L69" i="1"/>
  <c r="E70" i="1"/>
  <c r="G70" i="1"/>
  <c r="H70" i="1"/>
  <c r="I70" i="1"/>
  <c r="J70" i="1"/>
  <c r="K70" i="1"/>
  <c r="L70" i="1"/>
  <c r="E71" i="1"/>
  <c r="G71" i="1"/>
  <c r="H71" i="1"/>
  <c r="I71" i="1"/>
  <c r="J71" i="1"/>
  <c r="K71" i="1"/>
  <c r="L71" i="1"/>
  <c r="E55" i="1"/>
  <c r="G55" i="1"/>
  <c r="H55" i="1"/>
  <c r="I55" i="1"/>
  <c r="J55" i="1"/>
  <c r="L55" i="1"/>
  <c r="M55" i="1"/>
  <c r="K55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N122" i="1" l="1"/>
  <c r="N146" i="1" s="1"/>
  <c r="AA194" i="1" s="1"/>
  <c r="N294" i="1"/>
  <c r="N222" i="1" s="1"/>
  <c r="N246" i="1" s="1"/>
  <c r="AA294" i="1" s="1"/>
  <c r="N118" i="1"/>
  <c r="N142" i="1" s="1"/>
  <c r="AA190" i="1" s="1"/>
  <c r="N290" i="1"/>
  <c r="N218" i="1" s="1"/>
  <c r="N242" i="1" s="1"/>
  <c r="AA290" i="1" s="1"/>
  <c r="N114" i="1"/>
  <c r="N138" i="1" s="1"/>
  <c r="AA186" i="1" s="1"/>
  <c r="N286" i="1"/>
  <c r="N214" i="1" s="1"/>
  <c r="N238" i="1" s="1"/>
  <c r="AA286" i="1" s="1"/>
  <c r="N110" i="1"/>
  <c r="N134" i="1" s="1"/>
  <c r="AA182" i="1" s="1"/>
  <c r="N282" i="1"/>
  <c r="N210" i="1" s="1"/>
  <c r="N234" i="1" s="1"/>
  <c r="AA282" i="1" s="1"/>
  <c r="N123" i="1"/>
  <c r="N121" i="1"/>
  <c r="N145" i="1" s="1"/>
  <c r="AA193" i="1" s="1"/>
  <c r="N119" i="1"/>
  <c r="N143" i="1" s="1"/>
  <c r="AA191" i="1" s="1"/>
  <c r="N117" i="1"/>
  <c r="N141" i="1" s="1"/>
  <c r="AA189" i="1" s="1"/>
  <c r="N115" i="1"/>
  <c r="N113" i="1"/>
  <c r="N137" i="1" s="1"/>
  <c r="AA185" i="1" s="1"/>
  <c r="N111" i="1"/>
  <c r="N135" i="1" s="1"/>
  <c r="AA183" i="1" s="1"/>
  <c r="N109" i="1"/>
  <c r="N133" i="1" s="1"/>
  <c r="AA181" i="1" s="1"/>
  <c r="N231" i="1"/>
  <c r="AA279" i="1" s="1"/>
  <c r="N42" i="1"/>
  <c r="AA90" i="1" s="1"/>
  <c r="AL90" i="1" s="1"/>
  <c r="M147" i="1"/>
  <c r="Z195" i="1" s="1"/>
  <c r="M145" i="1"/>
  <c r="Z193" i="1" s="1"/>
  <c r="M143" i="1"/>
  <c r="Z191" i="1" s="1"/>
  <c r="M141" i="1"/>
  <c r="Z189" i="1" s="1"/>
  <c r="M139" i="1"/>
  <c r="Z187" i="1" s="1"/>
  <c r="M137" i="1"/>
  <c r="Z185" i="1" s="1"/>
  <c r="M135" i="1"/>
  <c r="Z183" i="1" s="1"/>
  <c r="M133" i="1"/>
  <c r="Z181" i="1" s="1"/>
  <c r="M247" i="1"/>
  <c r="Z295" i="1" s="1"/>
  <c r="M245" i="1"/>
  <c r="Z293" i="1" s="1"/>
  <c r="M243" i="1"/>
  <c r="Z291" i="1" s="1"/>
  <c r="M241" i="1"/>
  <c r="Z289" i="1" s="1"/>
  <c r="M239" i="1"/>
  <c r="Z287" i="1" s="1"/>
  <c r="M237" i="1"/>
  <c r="Z285" i="1" s="1"/>
  <c r="M235" i="1"/>
  <c r="Z283" i="1" s="1"/>
  <c r="M233" i="1"/>
  <c r="Z281" i="1" s="1"/>
  <c r="N247" i="1"/>
  <c r="AA295" i="1" s="1"/>
  <c r="N245" i="1"/>
  <c r="AA293" i="1" s="1"/>
  <c r="N243" i="1"/>
  <c r="AA291" i="1" s="1"/>
  <c r="N241" i="1"/>
  <c r="AA289" i="1" s="1"/>
  <c r="N239" i="1"/>
  <c r="AA287" i="1" s="1"/>
  <c r="N237" i="1"/>
  <c r="AA285" i="1" s="1"/>
  <c r="N235" i="1"/>
  <c r="AA283" i="1" s="1"/>
  <c r="N233" i="1"/>
  <c r="AA281" i="1" s="1"/>
  <c r="H232" i="1"/>
  <c r="U280" i="1" s="1"/>
  <c r="N147" i="1"/>
  <c r="AA195" i="1" s="1"/>
  <c r="N139" i="1"/>
  <c r="AA187" i="1" s="1"/>
  <c r="F147" i="1"/>
  <c r="S195" i="1" s="1"/>
  <c r="H36" i="1"/>
  <c r="U84" i="1" s="1"/>
  <c r="AF84" i="1" s="1"/>
  <c r="Z8" i="1"/>
  <c r="E198" i="3" s="1"/>
  <c r="N131" i="1"/>
  <c r="AA179" i="1" s="1"/>
  <c r="N47" i="1"/>
  <c r="AA95" i="1" s="1"/>
  <c r="AL95" i="1" s="1"/>
  <c r="N43" i="1"/>
  <c r="AA91" i="1" s="1"/>
  <c r="AL91" i="1" s="1"/>
  <c r="L90" i="1"/>
  <c r="L42" i="1" s="1"/>
  <c r="Y90" i="1" s="1"/>
  <c r="AJ90" i="1" s="1"/>
  <c r="N46" i="1"/>
  <c r="AA94" i="1" s="1"/>
  <c r="AL94" i="1" s="1"/>
  <c r="N38" i="1"/>
  <c r="AA86" i="1" s="1"/>
  <c r="AL86" i="1" s="1"/>
  <c r="N34" i="1"/>
  <c r="AA82" i="1" s="1"/>
  <c r="AL82" i="1" s="1"/>
  <c r="N35" i="1"/>
  <c r="AA83" i="1" s="1"/>
  <c r="AL83" i="1" s="1"/>
  <c r="N45" i="1"/>
  <c r="AA93" i="1" s="1"/>
  <c r="AL93" i="1" s="1"/>
  <c r="N41" i="1"/>
  <c r="AA89" i="1" s="1"/>
  <c r="AL89" i="1" s="1"/>
  <c r="N37" i="1"/>
  <c r="AA85" i="1" s="1"/>
  <c r="AL85" i="1" s="1"/>
  <c r="N33" i="1"/>
  <c r="AA81" i="1" s="1"/>
  <c r="AL81" i="1" s="1"/>
  <c r="N39" i="1"/>
  <c r="AA87" i="1" s="1"/>
  <c r="AL87" i="1" s="1"/>
  <c r="N31" i="1"/>
  <c r="AA79" i="1" s="1"/>
  <c r="AL79" i="1" s="1"/>
  <c r="N44" i="1"/>
  <c r="AA92" i="1" s="1"/>
  <c r="AL92" i="1" s="1"/>
  <c r="N40" i="1"/>
  <c r="AA88" i="1" s="1"/>
  <c r="AL88" i="1" s="1"/>
  <c r="N36" i="1"/>
  <c r="AA84" i="1" s="1"/>
  <c r="AL84" i="1" s="1"/>
  <c r="N32" i="1"/>
  <c r="AA80" i="1" s="1"/>
  <c r="AL80" i="1" s="1"/>
  <c r="L95" i="1"/>
  <c r="J79" i="1"/>
  <c r="J31" i="1" s="1"/>
  <c r="W79" i="1" s="1"/>
  <c r="AH79" i="1" s="1"/>
  <c r="K95" i="1"/>
  <c r="K195" i="1" s="1"/>
  <c r="K295" i="1" s="1"/>
  <c r="K247" i="1" s="1"/>
  <c r="X295" i="1" s="1"/>
  <c r="K94" i="1"/>
  <c r="K46" i="1" s="1"/>
  <c r="X94" i="1" s="1"/>
  <c r="AI94" i="1" s="1"/>
  <c r="L79" i="1"/>
  <c r="L179" i="1" s="1"/>
  <c r="L279" i="1" s="1"/>
  <c r="L231" i="1" s="1"/>
  <c r="Y279" i="1" s="1"/>
  <c r="I86" i="1"/>
  <c r="I186" i="1" s="1"/>
  <c r="I286" i="1" s="1"/>
  <c r="I238" i="1" s="1"/>
  <c r="V286" i="1" s="1"/>
  <c r="E95" i="1"/>
  <c r="F83" i="1"/>
  <c r="F183" i="1" s="1"/>
  <c r="F283" i="1" s="1"/>
  <c r="F235" i="1" s="1"/>
  <c r="S283" i="1" s="1"/>
  <c r="G91" i="1"/>
  <c r="K91" i="1"/>
  <c r="K43" i="1" s="1"/>
  <c r="X91" i="1" s="1"/>
  <c r="AI91" i="1" s="1"/>
  <c r="G95" i="1"/>
  <c r="G195" i="1" s="1"/>
  <c r="G295" i="1" s="1"/>
  <c r="G247" i="1" s="1"/>
  <c r="T295" i="1" s="1"/>
  <c r="E91" i="1"/>
  <c r="E191" i="1" s="1"/>
  <c r="K84" i="1"/>
  <c r="G92" i="1"/>
  <c r="G192" i="1" s="1"/>
  <c r="G292" i="1" s="1"/>
  <c r="G244" i="1" s="1"/>
  <c r="T292" i="1" s="1"/>
  <c r="E84" i="1"/>
  <c r="E36" i="1" s="1"/>
  <c r="R84" i="1" s="1"/>
  <c r="AC84" i="1" s="1"/>
  <c r="M92" i="1"/>
  <c r="F88" i="1"/>
  <c r="K80" i="1"/>
  <c r="K180" i="1" s="1"/>
  <c r="L88" i="1"/>
  <c r="L31" i="1"/>
  <c r="Y79" i="1" s="1"/>
  <c r="AJ79" i="1" s="1"/>
  <c r="I40" i="1"/>
  <c r="V88" i="1" s="1"/>
  <c r="AG88" i="1" s="1"/>
  <c r="E80" i="1"/>
  <c r="E180" i="1" s="1"/>
  <c r="M88" i="1"/>
  <c r="L84" i="1"/>
  <c r="H89" i="1"/>
  <c r="H189" i="1" s="1"/>
  <c r="J84" i="1"/>
  <c r="J80" i="1"/>
  <c r="J180" i="1" s="1"/>
  <c r="J280" i="1" s="1"/>
  <c r="J232" i="1" s="1"/>
  <c r="W280" i="1" s="1"/>
  <c r="G88" i="1"/>
  <c r="G40" i="1" s="1"/>
  <c r="T88" i="1" s="1"/>
  <c r="AE88" i="1" s="1"/>
  <c r="M84" i="1"/>
  <c r="F80" i="1"/>
  <c r="L80" i="1"/>
  <c r="L32" i="1" s="1"/>
  <c r="Y80" i="1" s="1"/>
  <c r="AJ80" i="1" s="1"/>
  <c r="H88" i="1"/>
  <c r="G84" i="1"/>
  <c r="G36" i="1" s="1"/>
  <c r="T84" i="1" s="1"/>
  <c r="AE84" i="1" s="1"/>
  <c r="G80" i="1"/>
  <c r="G32" i="1" s="1"/>
  <c r="T80" i="1" s="1"/>
  <c r="AE80" i="1" s="1"/>
  <c r="H32" i="1"/>
  <c r="U80" i="1" s="1"/>
  <c r="AF80" i="1" s="1"/>
  <c r="E88" i="1"/>
  <c r="E40" i="1" s="1"/>
  <c r="R88" i="1" s="1"/>
  <c r="AC88" i="1" s="1"/>
  <c r="M93" i="1"/>
  <c r="M45" i="1" s="1"/>
  <c r="Z93" i="1" s="1"/>
  <c r="AK93" i="1" s="1"/>
  <c r="G44" i="1"/>
  <c r="T92" i="1" s="1"/>
  <c r="AE92" i="1" s="1"/>
  <c r="E31" i="1"/>
  <c r="R79" i="1" s="1"/>
  <c r="AC79" i="1" s="1"/>
  <c r="E179" i="1"/>
  <c r="G185" i="1"/>
  <c r="G37" i="1"/>
  <c r="T85" i="1" s="1"/>
  <c r="AE85" i="1" s="1"/>
  <c r="M41" i="1"/>
  <c r="Z89" i="1" s="1"/>
  <c r="AK89" i="1" s="1"/>
  <c r="H193" i="1"/>
  <c r="H45" i="1"/>
  <c r="U93" i="1" s="1"/>
  <c r="AF93" i="1" s="1"/>
  <c r="I38" i="1"/>
  <c r="V86" i="1" s="1"/>
  <c r="AG86" i="1" s="1"/>
  <c r="I33" i="1"/>
  <c r="V81" i="1" s="1"/>
  <c r="AG81" i="1" s="1"/>
  <c r="I181" i="1"/>
  <c r="I281" i="1" s="1"/>
  <c r="I233" i="1" s="1"/>
  <c r="V281" i="1" s="1"/>
  <c r="L36" i="1"/>
  <c r="Y84" i="1" s="1"/>
  <c r="AJ84" i="1" s="1"/>
  <c r="L184" i="1"/>
  <c r="L284" i="1" s="1"/>
  <c r="L236" i="1" s="1"/>
  <c r="Y284" i="1" s="1"/>
  <c r="J194" i="1"/>
  <c r="J46" i="1"/>
  <c r="W94" i="1" s="1"/>
  <c r="AH94" i="1" s="1"/>
  <c r="H41" i="1"/>
  <c r="U89" i="1" s="1"/>
  <c r="AF89" i="1" s="1"/>
  <c r="K38" i="1"/>
  <c r="X86" i="1" s="1"/>
  <c r="AI86" i="1" s="1"/>
  <c r="K186" i="1"/>
  <c r="L191" i="1"/>
  <c r="L291" i="1" s="1"/>
  <c r="L243" i="1" s="1"/>
  <c r="Y291" i="1" s="1"/>
  <c r="L43" i="1"/>
  <c r="Y91" i="1" s="1"/>
  <c r="AJ91" i="1" s="1"/>
  <c r="F82" i="1"/>
  <c r="E82" i="1"/>
  <c r="H82" i="1"/>
  <c r="L82" i="1"/>
  <c r="K82" i="1"/>
  <c r="G82" i="1"/>
  <c r="E90" i="1"/>
  <c r="I90" i="1"/>
  <c r="M90" i="1"/>
  <c r="G90" i="1"/>
  <c r="H90" i="1"/>
  <c r="E94" i="1"/>
  <c r="I94" i="1"/>
  <c r="G94" i="1"/>
  <c r="F94" i="1"/>
  <c r="H94" i="1"/>
  <c r="L94" i="1"/>
  <c r="J90" i="1"/>
  <c r="J187" i="1"/>
  <c r="J39" i="1"/>
  <c r="W87" i="1" s="1"/>
  <c r="AH87" i="1" s="1"/>
  <c r="J82" i="1"/>
  <c r="E43" i="1"/>
  <c r="R91" i="1" s="1"/>
  <c r="AC91" i="1" s="1"/>
  <c r="F90" i="1"/>
  <c r="F42" i="1" s="1"/>
  <c r="S90" i="1" s="1"/>
  <c r="AD90" i="1" s="1"/>
  <c r="F135" i="1"/>
  <c r="S183" i="1" s="1"/>
  <c r="F81" i="1"/>
  <c r="H81" i="1"/>
  <c r="L81" i="1"/>
  <c r="K81" i="1"/>
  <c r="E81" i="1"/>
  <c r="J81" i="1"/>
  <c r="M81" i="1"/>
  <c r="F85" i="1"/>
  <c r="H85" i="1"/>
  <c r="L85" i="1"/>
  <c r="K85" i="1"/>
  <c r="M85" i="1"/>
  <c r="J85" i="1"/>
  <c r="F89" i="1"/>
  <c r="I89" i="1"/>
  <c r="L89" i="1"/>
  <c r="G89" i="1"/>
  <c r="K89" i="1"/>
  <c r="F93" i="1"/>
  <c r="I93" i="1"/>
  <c r="L93" i="1"/>
  <c r="E93" i="1"/>
  <c r="G93" i="1"/>
  <c r="K93" i="1"/>
  <c r="K36" i="1"/>
  <c r="X84" i="1" s="1"/>
  <c r="AI84" i="1" s="1"/>
  <c r="K184" i="1"/>
  <c r="K284" i="1" s="1"/>
  <c r="K236" i="1" s="1"/>
  <c r="X284" i="1" s="1"/>
  <c r="J93" i="1"/>
  <c r="G43" i="1"/>
  <c r="T91" i="1" s="1"/>
  <c r="AE91" i="1" s="1"/>
  <c r="G191" i="1"/>
  <c r="G291" i="1" s="1"/>
  <c r="G243" i="1" s="1"/>
  <c r="T291" i="1" s="1"/>
  <c r="H188" i="1"/>
  <c r="H288" i="1" s="1"/>
  <c r="H240" i="1" s="1"/>
  <c r="U288" i="1" s="1"/>
  <c r="H40" i="1"/>
  <c r="U88" i="1" s="1"/>
  <c r="AF88" i="1" s="1"/>
  <c r="I85" i="1"/>
  <c r="J283" i="1"/>
  <c r="J235" i="1" s="1"/>
  <c r="W283" i="1" s="1"/>
  <c r="J135" i="1"/>
  <c r="W183" i="1" s="1"/>
  <c r="G81" i="1"/>
  <c r="E85" i="1"/>
  <c r="M34" i="1"/>
  <c r="Z82" i="1" s="1"/>
  <c r="AK82" i="1" s="1"/>
  <c r="G188" i="1"/>
  <c r="G288" i="1" s="1"/>
  <c r="G240" i="1" s="1"/>
  <c r="T288" i="1" s="1"/>
  <c r="E86" i="1"/>
  <c r="H86" i="1"/>
  <c r="F86" i="1"/>
  <c r="M86" i="1"/>
  <c r="G86" i="1"/>
  <c r="K90" i="1"/>
  <c r="L47" i="1"/>
  <c r="Y95" i="1" s="1"/>
  <c r="AJ95" i="1" s="1"/>
  <c r="L195" i="1"/>
  <c r="L295" i="1" s="1"/>
  <c r="L247" i="1" s="1"/>
  <c r="Y295" i="1" s="1"/>
  <c r="L86" i="1"/>
  <c r="H44" i="1"/>
  <c r="U92" i="1" s="1"/>
  <c r="AF92" i="1" s="1"/>
  <c r="H192" i="1"/>
  <c r="H292" i="1" s="1"/>
  <c r="H244" i="1" s="1"/>
  <c r="U292" i="1" s="1"/>
  <c r="J89" i="1"/>
  <c r="J86" i="1"/>
  <c r="I82" i="1"/>
  <c r="J35" i="1"/>
  <c r="W83" i="1" s="1"/>
  <c r="AH83" i="1" s="1"/>
  <c r="E89" i="1"/>
  <c r="M94" i="1"/>
  <c r="F295" i="1"/>
  <c r="F247" i="1" s="1"/>
  <c r="S295" i="1" s="1"/>
  <c r="M79" i="1"/>
  <c r="H79" i="1"/>
  <c r="M83" i="1"/>
  <c r="H83" i="1"/>
  <c r="F87" i="1"/>
  <c r="F187" i="1" s="1"/>
  <c r="M87" i="1"/>
  <c r="H87" i="1"/>
  <c r="M91" i="1"/>
  <c r="I91" i="1"/>
  <c r="M95" i="1"/>
  <c r="I95" i="1"/>
  <c r="K83" i="1"/>
  <c r="L83" i="1"/>
  <c r="J95" i="1"/>
  <c r="J91" i="1"/>
  <c r="I87" i="1"/>
  <c r="I83" i="1"/>
  <c r="I79" i="1"/>
  <c r="E188" i="1"/>
  <c r="E288" i="1" s="1"/>
  <c r="E240" i="1" s="1"/>
  <c r="R288" i="1" s="1"/>
  <c r="E83" i="1"/>
  <c r="F79" i="1"/>
  <c r="F92" i="1"/>
  <c r="I92" i="1"/>
  <c r="K79" i="1"/>
  <c r="K92" i="1"/>
  <c r="K87" i="1"/>
  <c r="L92" i="1"/>
  <c r="L87" i="1"/>
  <c r="H95" i="1"/>
  <c r="J92" i="1"/>
  <c r="H91" i="1"/>
  <c r="J88" i="1"/>
  <c r="G87" i="1"/>
  <c r="I84" i="1"/>
  <c r="G83" i="1"/>
  <c r="I80" i="1"/>
  <c r="G79" i="1"/>
  <c r="K88" i="1"/>
  <c r="E92" i="1"/>
  <c r="E87" i="1"/>
  <c r="M80" i="1"/>
  <c r="H184" i="1"/>
  <c r="H284" i="1" s="1"/>
  <c r="H236" i="1" s="1"/>
  <c r="U284" i="1" s="1"/>
  <c r="F91" i="1"/>
  <c r="F191" i="1" s="1"/>
  <c r="F84" i="1"/>
  <c r="X8" i="1"/>
  <c r="T8" i="1"/>
  <c r="E78" i="3" s="1"/>
  <c r="Q8" i="1"/>
  <c r="E18" i="3" s="1"/>
  <c r="W8" i="1"/>
  <c r="E138" i="3" s="1"/>
  <c r="S8" i="1"/>
  <c r="E58" i="3" s="1"/>
  <c r="R8" i="1"/>
  <c r="E38" i="3" s="1"/>
  <c r="V8" i="1"/>
  <c r="E118" i="3" s="1"/>
  <c r="Y8" i="1"/>
  <c r="U8" i="1"/>
  <c r="E98" i="3" s="1"/>
  <c r="F47" i="1"/>
  <c r="S95" i="1" s="1"/>
  <c r="AD95" i="1" s="1"/>
  <c r="Q106" i="1"/>
  <c r="Z7" i="1" l="1"/>
  <c r="E197" i="3" s="1"/>
  <c r="E158" i="3"/>
  <c r="E178" i="3"/>
  <c r="Q206" i="1"/>
  <c r="W208" i="1" s="1"/>
  <c r="E126" i="3" s="1"/>
  <c r="Z108" i="1"/>
  <c r="E192" i="3" s="1"/>
  <c r="Z107" i="1"/>
  <c r="E191" i="3" s="1"/>
  <c r="K32" i="1"/>
  <c r="X80" i="1" s="1"/>
  <c r="AI80" i="1" s="1"/>
  <c r="K191" i="1"/>
  <c r="K291" i="1" s="1"/>
  <c r="K243" i="1" s="1"/>
  <c r="X291" i="1" s="1"/>
  <c r="F43" i="1"/>
  <c r="S91" i="1" s="1"/>
  <c r="AD91" i="1" s="1"/>
  <c r="L180" i="1"/>
  <c r="L280" i="1" s="1"/>
  <c r="L232" i="1" s="1"/>
  <c r="Y280" i="1" s="1"/>
  <c r="K47" i="1"/>
  <c r="X95" i="1" s="1"/>
  <c r="AI95" i="1" s="1"/>
  <c r="G147" i="1"/>
  <c r="J179" i="1"/>
  <c r="J131" i="1" s="1"/>
  <c r="W179" i="1" s="1"/>
  <c r="L190" i="1"/>
  <c r="L143" i="1"/>
  <c r="Y191" i="1" s="1"/>
  <c r="E280" i="1"/>
  <c r="E232" i="1" s="1"/>
  <c r="R280" i="1" s="1"/>
  <c r="E47" i="1"/>
  <c r="R95" i="1" s="1"/>
  <c r="AC95" i="1" s="1"/>
  <c r="E32" i="1"/>
  <c r="R80" i="1" s="1"/>
  <c r="AC80" i="1" s="1"/>
  <c r="K194" i="1"/>
  <c r="K146" i="1" s="1"/>
  <c r="X194" i="1" s="1"/>
  <c r="E195" i="1"/>
  <c r="E295" i="1" s="1"/>
  <c r="E184" i="1"/>
  <c r="E284" i="1" s="1"/>
  <c r="E236" i="1" s="1"/>
  <c r="R284" i="1" s="1"/>
  <c r="G184" i="1"/>
  <c r="G284" i="1" s="1"/>
  <c r="G236" i="1" s="1"/>
  <c r="T284" i="1" s="1"/>
  <c r="M44" i="1"/>
  <c r="Z92" i="1" s="1"/>
  <c r="AK92" i="1" s="1"/>
  <c r="H144" i="1"/>
  <c r="U192" i="1" s="1"/>
  <c r="K147" i="1"/>
  <c r="X195" i="1" s="1"/>
  <c r="L136" i="1"/>
  <c r="Y184" i="1" s="1"/>
  <c r="F35" i="1"/>
  <c r="S83" i="1" s="1"/>
  <c r="AD83" i="1" s="1"/>
  <c r="K280" i="1"/>
  <c r="K232" i="1" s="1"/>
  <c r="X280" i="1" s="1"/>
  <c r="K132" i="1"/>
  <c r="X180" i="1" s="1"/>
  <c r="F180" i="1"/>
  <c r="F32" i="1"/>
  <c r="S80" i="1" s="1"/>
  <c r="AD80" i="1" s="1"/>
  <c r="L188" i="1"/>
  <c r="L40" i="1"/>
  <c r="Y88" i="1" s="1"/>
  <c r="AJ88" i="1" s="1"/>
  <c r="M40" i="1"/>
  <c r="Z88" i="1" s="1"/>
  <c r="AK88" i="1" s="1"/>
  <c r="J184" i="1"/>
  <c r="J36" i="1"/>
  <c r="W84" i="1" s="1"/>
  <c r="AH84" i="1" s="1"/>
  <c r="G140" i="1"/>
  <c r="T188" i="1" s="1"/>
  <c r="F39" i="1"/>
  <c r="S87" i="1" s="1"/>
  <c r="AD87" i="1" s="1"/>
  <c r="J32" i="1"/>
  <c r="W80" i="1" s="1"/>
  <c r="AH80" i="1" s="1"/>
  <c r="G180" i="1"/>
  <c r="M36" i="1"/>
  <c r="Z84" i="1" s="1"/>
  <c r="AK84" i="1" s="1"/>
  <c r="F188" i="1"/>
  <c r="F40" i="1"/>
  <c r="S88" i="1" s="1"/>
  <c r="AD88" i="1" s="1"/>
  <c r="I133" i="1"/>
  <c r="V181" i="1" s="1"/>
  <c r="E192" i="1"/>
  <c r="E44" i="1"/>
  <c r="R92" i="1" s="1"/>
  <c r="AC92" i="1" s="1"/>
  <c r="J188" i="1"/>
  <c r="J40" i="1"/>
  <c r="W88" i="1" s="1"/>
  <c r="AH88" i="1" s="1"/>
  <c r="K179" i="1"/>
  <c r="K31" i="1"/>
  <c r="X79" i="1" s="1"/>
  <c r="AI79" i="1" s="1"/>
  <c r="E35" i="1"/>
  <c r="R83" i="1" s="1"/>
  <c r="AC83" i="1" s="1"/>
  <c r="E183" i="1"/>
  <c r="I195" i="1"/>
  <c r="M35" i="1"/>
  <c r="Z83" i="1" s="1"/>
  <c r="AK83" i="1" s="1"/>
  <c r="J189" i="1"/>
  <c r="J41" i="1"/>
  <c r="W89" i="1" s="1"/>
  <c r="AH89" i="1" s="1"/>
  <c r="E45" i="1"/>
  <c r="R93" i="1" s="1"/>
  <c r="AC93" i="1" s="1"/>
  <c r="E193" i="1"/>
  <c r="F189" i="1"/>
  <c r="F41" i="1"/>
  <c r="S89" i="1" s="1"/>
  <c r="AD89" i="1" s="1"/>
  <c r="L185" i="1"/>
  <c r="L37" i="1"/>
  <c r="Y85" i="1" s="1"/>
  <c r="AJ85" i="1" s="1"/>
  <c r="J181" i="1"/>
  <c r="J33" i="1"/>
  <c r="W81" i="1" s="1"/>
  <c r="AH81" i="1" s="1"/>
  <c r="H181" i="1"/>
  <c r="H33" i="1"/>
  <c r="U81" i="1" s="1"/>
  <c r="AF81" i="1" s="1"/>
  <c r="E291" i="1"/>
  <c r="E243" i="1" s="1"/>
  <c r="R291" i="1" s="1"/>
  <c r="E143" i="1"/>
  <c r="R191" i="1" s="1"/>
  <c r="J139" i="1"/>
  <c r="W187" i="1" s="1"/>
  <c r="J287" i="1"/>
  <c r="J239" i="1" s="1"/>
  <c r="W287" i="1" s="1"/>
  <c r="F194" i="1"/>
  <c r="F46" i="1"/>
  <c r="S94" i="1" s="1"/>
  <c r="AD94" i="1" s="1"/>
  <c r="H182" i="1"/>
  <c r="H34" i="1"/>
  <c r="U82" i="1" s="1"/>
  <c r="AF82" i="1" s="1"/>
  <c r="F143" i="1"/>
  <c r="S191" i="1" s="1"/>
  <c r="F291" i="1"/>
  <c r="F243" i="1" s="1"/>
  <c r="S291" i="1" s="1"/>
  <c r="I180" i="1"/>
  <c r="I32" i="1"/>
  <c r="V80" i="1" s="1"/>
  <c r="AG80" i="1" s="1"/>
  <c r="L187" i="1"/>
  <c r="L39" i="1"/>
  <c r="Y87" i="1" s="1"/>
  <c r="AJ87" i="1" s="1"/>
  <c r="J191" i="1"/>
  <c r="J43" i="1"/>
  <c r="W91" i="1" s="1"/>
  <c r="AH91" i="1" s="1"/>
  <c r="H39" i="1"/>
  <c r="U87" i="1" s="1"/>
  <c r="AF87" i="1" s="1"/>
  <c r="H187" i="1"/>
  <c r="E41" i="1"/>
  <c r="R89" i="1" s="1"/>
  <c r="AC89" i="1" s="1"/>
  <c r="E189" i="1"/>
  <c r="M38" i="1"/>
  <c r="Z86" i="1" s="1"/>
  <c r="AK86" i="1" s="1"/>
  <c r="E37" i="1"/>
  <c r="R85" i="1" s="1"/>
  <c r="AC85" i="1" s="1"/>
  <c r="E185" i="1"/>
  <c r="K189" i="1"/>
  <c r="K41" i="1"/>
  <c r="X89" i="1" s="1"/>
  <c r="AI89" i="1" s="1"/>
  <c r="H190" i="1"/>
  <c r="H42" i="1"/>
  <c r="U90" i="1" s="1"/>
  <c r="AF90" i="1" s="1"/>
  <c r="E42" i="1"/>
  <c r="R90" i="1" s="1"/>
  <c r="AC90" i="1" s="1"/>
  <c r="E190" i="1"/>
  <c r="F190" i="1"/>
  <c r="K40" i="1"/>
  <c r="X88" i="1" s="1"/>
  <c r="AI88" i="1" s="1"/>
  <c r="K188" i="1"/>
  <c r="G35" i="1"/>
  <c r="T83" i="1" s="1"/>
  <c r="AE83" i="1" s="1"/>
  <c r="G183" i="1"/>
  <c r="H191" i="1"/>
  <c r="H43" i="1"/>
  <c r="U91" i="1" s="1"/>
  <c r="AF91" i="1" s="1"/>
  <c r="L44" i="1"/>
  <c r="Y92" i="1" s="1"/>
  <c r="AJ92" i="1" s="1"/>
  <c r="L192" i="1"/>
  <c r="I192" i="1"/>
  <c r="I44" i="1"/>
  <c r="V92" i="1" s="1"/>
  <c r="AG92" i="1" s="1"/>
  <c r="J195" i="1"/>
  <c r="M39" i="1"/>
  <c r="Z87" i="1" s="1"/>
  <c r="AK87" i="1" s="1"/>
  <c r="H31" i="1"/>
  <c r="U79" i="1" s="1"/>
  <c r="AF79" i="1" s="1"/>
  <c r="H179" i="1"/>
  <c r="M46" i="1"/>
  <c r="Z94" i="1" s="1"/>
  <c r="AK94" i="1" s="1"/>
  <c r="F186" i="1"/>
  <c r="F38" i="1"/>
  <c r="S86" i="1" s="1"/>
  <c r="AD86" i="1" s="1"/>
  <c r="E147" i="1"/>
  <c r="R195" i="1" s="1"/>
  <c r="L193" i="1"/>
  <c r="L45" i="1"/>
  <c r="Y93" i="1" s="1"/>
  <c r="AJ93" i="1" s="1"/>
  <c r="G189" i="1"/>
  <c r="G41" i="1"/>
  <c r="T89" i="1" s="1"/>
  <c r="AE89" i="1" s="1"/>
  <c r="J185" i="1"/>
  <c r="J37" i="1"/>
  <c r="W85" i="1" s="1"/>
  <c r="AH85" i="1" s="1"/>
  <c r="H185" i="1"/>
  <c r="H37" i="1"/>
  <c r="U85" i="1" s="1"/>
  <c r="AF85" i="1" s="1"/>
  <c r="E33" i="1"/>
  <c r="R81" i="1" s="1"/>
  <c r="AC81" i="1" s="1"/>
  <c r="E181" i="1"/>
  <c r="F33" i="1"/>
  <c r="S81" i="1" s="1"/>
  <c r="AD81" i="1" s="1"/>
  <c r="F181" i="1"/>
  <c r="J190" i="1"/>
  <c r="J42" i="1"/>
  <c r="W90" i="1" s="1"/>
  <c r="AH90" i="1" s="1"/>
  <c r="G194" i="1"/>
  <c r="G46" i="1"/>
  <c r="T94" i="1" s="1"/>
  <c r="AE94" i="1" s="1"/>
  <c r="G190" i="1"/>
  <c r="G42" i="1"/>
  <c r="T90" i="1" s="1"/>
  <c r="AE90" i="1" s="1"/>
  <c r="G182" i="1"/>
  <c r="G34" i="1"/>
  <c r="T82" i="1" s="1"/>
  <c r="AE82" i="1" s="1"/>
  <c r="E34" i="1"/>
  <c r="R82" i="1" s="1"/>
  <c r="AC82" i="1" s="1"/>
  <c r="E182" i="1"/>
  <c r="J294" i="1"/>
  <c r="J246" i="1" s="1"/>
  <c r="W294" i="1" s="1"/>
  <c r="J146" i="1"/>
  <c r="W194" i="1" s="1"/>
  <c r="H145" i="1"/>
  <c r="U193" i="1" s="1"/>
  <c r="H293" i="1"/>
  <c r="H245" i="1" s="1"/>
  <c r="U293" i="1" s="1"/>
  <c r="G285" i="1"/>
  <c r="G237" i="1" s="1"/>
  <c r="T285" i="1" s="1"/>
  <c r="G137" i="1"/>
  <c r="T185" i="1" s="1"/>
  <c r="K143" i="1"/>
  <c r="X191" i="1" s="1"/>
  <c r="K136" i="1"/>
  <c r="X184" i="1" s="1"/>
  <c r="M32" i="1"/>
  <c r="Z80" i="1" s="1"/>
  <c r="AK80" i="1" s="1"/>
  <c r="I184" i="1"/>
  <c r="I36" i="1"/>
  <c r="V84" i="1" s="1"/>
  <c r="AG84" i="1" s="1"/>
  <c r="J192" i="1"/>
  <c r="J44" i="1"/>
  <c r="W92" i="1" s="1"/>
  <c r="AH92" i="1" s="1"/>
  <c r="K187" i="1"/>
  <c r="K39" i="1"/>
  <c r="X87" i="1" s="1"/>
  <c r="AI87" i="1" s="1"/>
  <c r="F44" i="1"/>
  <c r="S92" i="1" s="1"/>
  <c r="AD92" i="1" s="1"/>
  <c r="F192" i="1"/>
  <c r="I35" i="1"/>
  <c r="V83" i="1" s="1"/>
  <c r="AG83" i="1" s="1"/>
  <c r="I183" i="1"/>
  <c r="L183" i="1"/>
  <c r="L35" i="1"/>
  <c r="Y83" i="1" s="1"/>
  <c r="AJ83" i="1" s="1"/>
  <c r="I43" i="1"/>
  <c r="V91" i="1" s="1"/>
  <c r="AG91" i="1" s="1"/>
  <c r="I191" i="1"/>
  <c r="F139" i="1"/>
  <c r="S187" i="1" s="1"/>
  <c r="F287" i="1"/>
  <c r="F239" i="1" s="1"/>
  <c r="S287" i="1" s="1"/>
  <c r="M31" i="1"/>
  <c r="Z79" i="1" s="1"/>
  <c r="AK79" i="1" s="1"/>
  <c r="M179" i="1"/>
  <c r="I34" i="1"/>
  <c r="V82" i="1" s="1"/>
  <c r="AG82" i="1" s="1"/>
  <c r="I182" i="1"/>
  <c r="K42" i="1"/>
  <c r="X90" i="1" s="1"/>
  <c r="AI90" i="1" s="1"/>
  <c r="K190" i="1"/>
  <c r="H186" i="1"/>
  <c r="H38" i="1"/>
  <c r="U86" i="1" s="1"/>
  <c r="AF86" i="1" s="1"/>
  <c r="I37" i="1"/>
  <c r="V85" i="1" s="1"/>
  <c r="AG85" i="1" s="1"/>
  <c r="I185" i="1"/>
  <c r="K193" i="1"/>
  <c r="K45" i="1"/>
  <c r="X93" i="1" s="1"/>
  <c r="AI93" i="1" s="1"/>
  <c r="I45" i="1"/>
  <c r="V93" i="1" s="1"/>
  <c r="AG93" i="1" s="1"/>
  <c r="I193" i="1"/>
  <c r="L41" i="1"/>
  <c r="Y89" i="1" s="1"/>
  <c r="AJ89" i="1" s="1"/>
  <c r="L189" i="1"/>
  <c r="M37" i="1"/>
  <c r="Z85" i="1" s="1"/>
  <c r="AK85" i="1" s="1"/>
  <c r="F37" i="1"/>
  <c r="S85" i="1" s="1"/>
  <c r="AD85" i="1" s="1"/>
  <c r="F185" i="1"/>
  <c r="K33" i="1"/>
  <c r="X81" i="1" s="1"/>
  <c r="AI81" i="1" s="1"/>
  <c r="K181" i="1"/>
  <c r="J182" i="1"/>
  <c r="J34" i="1"/>
  <c r="W82" i="1" s="1"/>
  <c r="AH82" i="1" s="1"/>
  <c r="L194" i="1"/>
  <c r="L46" i="1"/>
  <c r="Y94" i="1" s="1"/>
  <c r="AJ94" i="1" s="1"/>
  <c r="I46" i="1"/>
  <c r="V94" i="1" s="1"/>
  <c r="AG94" i="1" s="1"/>
  <c r="I194" i="1"/>
  <c r="M42" i="1"/>
  <c r="Z90" i="1" s="1"/>
  <c r="AK90" i="1" s="1"/>
  <c r="K182" i="1"/>
  <c r="K34" i="1"/>
  <c r="X82" i="1" s="1"/>
  <c r="AI82" i="1" s="1"/>
  <c r="F34" i="1"/>
  <c r="S82" i="1" s="1"/>
  <c r="AD82" i="1" s="1"/>
  <c r="F182" i="1"/>
  <c r="H289" i="1"/>
  <c r="H241" i="1" s="1"/>
  <c r="U289" i="1" s="1"/>
  <c r="H141" i="1"/>
  <c r="U189" i="1" s="1"/>
  <c r="E279" i="1"/>
  <c r="E231" i="1" s="1"/>
  <c r="R279" i="1" s="1"/>
  <c r="E131" i="1"/>
  <c r="R179" i="1" s="1"/>
  <c r="L147" i="1"/>
  <c r="I138" i="1"/>
  <c r="V186" i="1" s="1"/>
  <c r="G143" i="1"/>
  <c r="T191" i="1" s="1"/>
  <c r="G144" i="1"/>
  <c r="T192" i="1" s="1"/>
  <c r="H136" i="1"/>
  <c r="U184" i="1" s="1"/>
  <c r="E140" i="1"/>
  <c r="R188" i="1" s="1"/>
  <c r="H140" i="1"/>
  <c r="U188" i="1" s="1"/>
  <c r="J132" i="1"/>
  <c r="W180" i="1" s="1"/>
  <c r="L132" i="1"/>
  <c r="Y180" i="1" s="1"/>
  <c r="X7" i="1"/>
  <c r="F184" i="1"/>
  <c r="F36" i="1"/>
  <c r="S84" i="1" s="1"/>
  <c r="AD84" i="1" s="1"/>
  <c r="E39" i="1"/>
  <c r="R87" i="1" s="1"/>
  <c r="AC87" i="1" s="1"/>
  <c r="E187" i="1"/>
  <c r="G179" i="1"/>
  <c r="G31" i="1"/>
  <c r="T79" i="1" s="1"/>
  <c r="AE79" i="1" s="1"/>
  <c r="G187" i="1"/>
  <c r="G39" i="1"/>
  <c r="T87" i="1" s="1"/>
  <c r="AE87" i="1" s="1"/>
  <c r="H195" i="1"/>
  <c r="K192" i="1"/>
  <c r="K44" i="1"/>
  <c r="X92" i="1" s="1"/>
  <c r="AI92" i="1" s="1"/>
  <c r="F179" i="1"/>
  <c r="F31" i="1"/>
  <c r="S79" i="1" s="1"/>
  <c r="AD79" i="1" s="1"/>
  <c r="I179" i="1"/>
  <c r="I31" i="1"/>
  <c r="V79" i="1" s="1"/>
  <c r="AG79" i="1" s="1"/>
  <c r="I39" i="1"/>
  <c r="V87" i="1" s="1"/>
  <c r="AG87" i="1" s="1"/>
  <c r="I187" i="1"/>
  <c r="K35" i="1"/>
  <c r="X83" i="1" s="1"/>
  <c r="AI83" i="1" s="1"/>
  <c r="K183" i="1"/>
  <c r="M43" i="1"/>
  <c r="Z91" i="1" s="1"/>
  <c r="AK91" i="1" s="1"/>
  <c r="H35" i="1"/>
  <c r="U83" i="1" s="1"/>
  <c r="AF83" i="1" s="1"/>
  <c r="H183" i="1"/>
  <c r="J186" i="1"/>
  <c r="J38" i="1"/>
  <c r="W86" i="1" s="1"/>
  <c r="AH86" i="1" s="1"/>
  <c r="L38" i="1"/>
  <c r="Y86" i="1" s="1"/>
  <c r="AJ86" i="1" s="1"/>
  <c r="L186" i="1"/>
  <c r="G38" i="1"/>
  <c r="T86" i="1" s="1"/>
  <c r="AE86" i="1" s="1"/>
  <c r="G186" i="1"/>
  <c r="E38" i="1"/>
  <c r="R86" i="1" s="1"/>
  <c r="AC86" i="1" s="1"/>
  <c r="E186" i="1"/>
  <c r="G33" i="1"/>
  <c r="T81" i="1" s="1"/>
  <c r="AE81" i="1" s="1"/>
  <c r="G181" i="1"/>
  <c r="J193" i="1"/>
  <c r="J45" i="1"/>
  <c r="W93" i="1" s="1"/>
  <c r="AH93" i="1" s="1"/>
  <c r="G193" i="1"/>
  <c r="G45" i="1"/>
  <c r="T93" i="1" s="1"/>
  <c r="AE93" i="1" s="1"/>
  <c r="F45" i="1"/>
  <c r="S93" i="1" s="1"/>
  <c r="AD93" i="1" s="1"/>
  <c r="F193" i="1"/>
  <c r="I189" i="1"/>
  <c r="I41" i="1"/>
  <c r="V89" i="1" s="1"/>
  <c r="AG89" i="1" s="1"/>
  <c r="K185" i="1"/>
  <c r="K37" i="1"/>
  <c r="X85" i="1" s="1"/>
  <c r="AI85" i="1" s="1"/>
  <c r="M33" i="1"/>
  <c r="Z81" i="1" s="1"/>
  <c r="AK81" i="1" s="1"/>
  <c r="L181" i="1"/>
  <c r="L33" i="1"/>
  <c r="Y81" i="1" s="1"/>
  <c r="AJ81" i="1" s="1"/>
  <c r="H194" i="1"/>
  <c r="H46" i="1"/>
  <c r="U94" i="1" s="1"/>
  <c r="AF94" i="1" s="1"/>
  <c r="E46" i="1"/>
  <c r="R94" i="1" s="1"/>
  <c r="AC94" i="1" s="1"/>
  <c r="E194" i="1"/>
  <c r="I42" i="1"/>
  <c r="V90" i="1" s="1"/>
  <c r="AG90" i="1" s="1"/>
  <c r="I190" i="1"/>
  <c r="L182" i="1"/>
  <c r="L34" i="1"/>
  <c r="Y82" i="1" s="1"/>
  <c r="AJ82" i="1" s="1"/>
  <c r="K286" i="1"/>
  <c r="K238" i="1" s="1"/>
  <c r="X286" i="1" s="1"/>
  <c r="K138" i="1"/>
  <c r="X186" i="1" s="1"/>
  <c r="S108" i="1"/>
  <c r="E52" i="3" s="1"/>
  <c r="W108" i="1"/>
  <c r="E132" i="3" s="1"/>
  <c r="Q108" i="1"/>
  <c r="E12" i="3" s="1"/>
  <c r="T108" i="1"/>
  <c r="E72" i="3" s="1"/>
  <c r="X108" i="1"/>
  <c r="E152" i="3" s="1"/>
  <c r="V108" i="1"/>
  <c r="E112" i="3" s="1"/>
  <c r="U108" i="1"/>
  <c r="E92" i="3" s="1"/>
  <c r="Y108" i="1"/>
  <c r="R108" i="1"/>
  <c r="E32" i="3" s="1"/>
  <c r="E132" i="1"/>
  <c r="R180" i="1" s="1"/>
  <c r="H132" i="1"/>
  <c r="U180" i="1" s="1"/>
  <c r="I140" i="1"/>
  <c r="V188" i="1" s="1"/>
  <c r="L131" i="1"/>
  <c r="Y179" i="1" s="1"/>
  <c r="S107" i="1" l="1"/>
  <c r="E51" i="3" s="1"/>
  <c r="X107" i="1"/>
  <c r="E151" i="3" s="1"/>
  <c r="R7" i="1"/>
  <c r="E37" i="3" s="1"/>
  <c r="W7" i="1"/>
  <c r="E137" i="3" s="1"/>
  <c r="X208" i="1"/>
  <c r="E146" i="3" s="1"/>
  <c r="V208" i="1"/>
  <c r="E106" i="3" s="1"/>
  <c r="S208" i="1"/>
  <c r="E46" i="3" s="1"/>
  <c r="U208" i="1"/>
  <c r="E86" i="3" s="1"/>
  <c r="E157" i="3"/>
  <c r="E177" i="3"/>
  <c r="E172" i="3"/>
  <c r="Y208" i="1"/>
  <c r="E166" i="3" s="1"/>
  <c r="R208" i="1"/>
  <c r="E26" i="3" s="1"/>
  <c r="T208" i="1"/>
  <c r="E66" i="3" s="1"/>
  <c r="Q208" i="1"/>
  <c r="E6" i="3" s="1"/>
  <c r="X207" i="1"/>
  <c r="E145" i="3" s="1"/>
  <c r="Z208" i="1"/>
  <c r="E186" i="3" s="1"/>
  <c r="Z207" i="1"/>
  <c r="E185" i="3" s="1"/>
  <c r="K294" i="1"/>
  <c r="K246" i="1" s="1"/>
  <c r="X294" i="1" s="1"/>
  <c r="J279" i="1"/>
  <c r="J231" i="1" s="1"/>
  <c r="W279" i="1" s="1"/>
  <c r="G136" i="1"/>
  <c r="T184" i="1" s="1"/>
  <c r="E247" i="1"/>
  <c r="R295" i="1" s="1"/>
  <c r="L290" i="1"/>
  <c r="L242" i="1" s="1"/>
  <c r="Y290" i="1" s="1"/>
  <c r="L142" i="1"/>
  <c r="Y190" i="1" s="1"/>
  <c r="Q7" i="1"/>
  <c r="E17" i="3" s="1"/>
  <c r="G47" i="1"/>
  <c r="T95" i="1" s="1"/>
  <c r="AE95" i="1" s="1"/>
  <c r="E136" i="1"/>
  <c r="R184" i="1" s="1"/>
  <c r="F140" i="1"/>
  <c r="S188" i="1" s="1"/>
  <c r="F288" i="1"/>
  <c r="F240" i="1" s="1"/>
  <c r="S288" i="1" s="1"/>
  <c r="F132" i="1"/>
  <c r="S180" i="1" s="1"/>
  <c r="F280" i="1"/>
  <c r="F232" i="1" s="1"/>
  <c r="S280" i="1" s="1"/>
  <c r="G280" i="1"/>
  <c r="G232" i="1" s="1"/>
  <c r="T280" i="1" s="1"/>
  <c r="G132" i="1"/>
  <c r="T180" i="1" s="1"/>
  <c r="J284" i="1"/>
  <c r="J236" i="1" s="1"/>
  <c r="W284" i="1" s="1"/>
  <c r="J136" i="1"/>
  <c r="W184" i="1" s="1"/>
  <c r="L288" i="1"/>
  <c r="L240" i="1" s="1"/>
  <c r="Y288" i="1" s="1"/>
  <c r="L140" i="1"/>
  <c r="Y188" i="1" s="1"/>
  <c r="E294" i="1"/>
  <c r="E246" i="1" s="1"/>
  <c r="R294" i="1" s="1"/>
  <c r="E146" i="1"/>
  <c r="R194" i="1" s="1"/>
  <c r="F293" i="1"/>
  <c r="F245" i="1" s="1"/>
  <c r="S293" i="1" s="1"/>
  <c r="F145" i="1"/>
  <c r="S193" i="1" s="1"/>
  <c r="E286" i="1"/>
  <c r="E238" i="1" s="1"/>
  <c r="R286" i="1" s="1"/>
  <c r="E138" i="1"/>
  <c r="R186" i="1" s="1"/>
  <c r="L286" i="1"/>
  <c r="L238" i="1" s="1"/>
  <c r="Y286" i="1" s="1"/>
  <c r="L138" i="1"/>
  <c r="Y186" i="1" s="1"/>
  <c r="H283" i="1"/>
  <c r="H235" i="1" s="1"/>
  <c r="U283" i="1" s="1"/>
  <c r="H135" i="1"/>
  <c r="U183" i="1" s="1"/>
  <c r="K283" i="1"/>
  <c r="K235" i="1" s="1"/>
  <c r="X283" i="1" s="1"/>
  <c r="K135" i="1"/>
  <c r="X183" i="1" s="1"/>
  <c r="E287" i="1"/>
  <c r="E239" i="1" s="1"/>
  <c r="R287" i="1" s="1"/>
  <c r="E139" i="1"/>
  <c r="R187" i="1" s="1"/>
  <c r="F134" i="1"/>
  <c r="S182" i="1" s="1"/>
  <c r="F282" i="1"/>
  <c r="F234" i="1" s="1"/>
  <c r="S282" i="1" s="1"/>
  <c r="K281" i="1"/>
  <c r="K233" i="1" s="1"/>
  <c r="X281" i="1" s="1"/>
  <c r="K133" i="1"/>
  <c r="X181" i="1" s="1"/>
  <c r="I293" i="1"/>
  <c r="I245" i="1" s="1"/>
  <c r="V293" i="1" s="1"/>
  <c r="I145" i="1"/>
  <c r="V193" i="1" s="1"/>
  <c r="I285" i="1"/>
  <c r="I237" i="1" s="1"/>
  <c r="V285" i="1" s="1"/>
  <c r="I137" i="1"/>
  <c r="V185" i="1" s="1"/>
  <c r="K142" i="1"/>
  <c r="X190" i="1" s="1"/>
  <c r="K290" i="1"/>
  <c r="K242" i="1" s="1"/>
  <c r="X290" i="1" s="1"/>
  <c r="F292" i="1"/>
  <c r="F244" i="1" s="1"/>
  <c r="S292" i="1" s="1"/>
  <c r="F144" i="1"/>
  <c r="S192" i="1" s="1"/>
  <c r="G290" i="1"/>
  <c r="G242" i="1" s="1"/>
  <c r="T290" i="1" s="1"/>
  <c r="G142" i="1"/>
  <c r="T190" i="1" s="1"/>
  <c r="J290" i="1"/>
  <c r="J242" i="1" s="1"/>
  <c r="W290" i="1" s="1"/>
  <c r="J142" i="1"/>
  <c r="W190" i="1" s="1"/>
  <c r="J285" i="1"/>
  <c r="J237" i="1" s="1"/>
  <c r="W285" i="1" s="1"/>
  <c r="J137" i="1"/>
  <c r="W185" i="1" s="1"/>
  <c r="L293" i="1"/>
  <c r="L245" i="1" s="1"/>
  <c r="Y293" i="1" s="1"/>
  <c r="L145" i="1"/>
  <c r="Y193" i="1" s="1"/>
  <c r="F138" i="1"/>
  <c r="S186" i="1" s="1"/>
  <c r="F286" i="1"/>
  <c r="F238" i="1" s="1"/>
  <c r="S286" i="1" s="1"/>
  <c r="M47" i="1"/>
  <c r="Z95" i="1" s="1"/>
  <c r="AK95" i="1" s="1"/>
  <c r="I292" i="1"/>
  <c r="I244" i="1" s="1"/>
  <c r="V292" i="1" s="1"/>
  <c r="I144" i="1"/>
  <c r="V192" i="1" s="1"/>
  <c r="H291" i="1"/>
  <c r="H243" i="1" s="1"/>
  <c r="U291" i="1" s="1"/>
  <c r="H143" i="1"/>
  <c r="U191" i="1" s="1"/>
  <c r="E285" i="1"/>
  <c r="E237" i="1" s="1"/>
  <c r="R285" i="1" s="1"/>
  <c r="E137" i="1"/>
  <c r="R185" i="1" s="1"/>
  <c r="H287" i="1"/>
  <c r="H239" i="1" s="1"/>
  <c r="U287" i="1" s="1"/>
  <c r="H139" i="1"/>
  <c r="U187" i="1" s="1"/>
  <c r="E293" i="1"/>
  <c r="E245" i="1" s="1"/>
  <c r="R293" i="1" s="1"/>
  <c r="E145" i="1"/>
  <c r="R193" i="1" s="1"/>
  <c r="E135" i="1"/>
  <c r="R183" i="1" s="1"/>
  <c r="E283" i="1"/>
  <c r="E235" i="1" s="1"/>
  <c r="R283" i="1" s="1"/>
  <c r="L282" i="1"/>
  <c r="L234" i="1" s="1"/>
  <c r="Y282" i="1" s="1"/>
  <c r="L134" i="1"/>
  <c r="Y182" i="1" s="1"/>
  <c r="L133" i="1"/>
  <c r="Y181" i="1" s="1"/>
  <c r="L281" i="1"/>
  <c r="L233" i="1" s="1"/>
  <c r="Y281" i="1" s="1"/>
  <c r="K137" i="1"/>
  <c r="X185" i="1" s="1"/>
  <c r="K285" i="1"/>
  <c r="K237" i="1" s="1"/>
  <c r="X285" i="1" s="1"/>
  <c r="J293" i="1"/>
  <c r="J245" i="1" s="1"/>
  <c r="W293" i="1" s="1"/>
  <c r="J145" i="1"/>
  <c r="W193" i="1" s="1"/>
  <c r="I279" i="1"/>
  <c r="I231" i="1" s="1"/>
  <c r="V279" i="1" s="1"/>
  <c r="I131" i="1"/>
  <c r="V179" i="1" s="1"/>
  <c r="K292" i="1"/>
  <c r="K244" i="1" s="1"/>
  <c r="X292" i="1" s="1"/>
  <c r="K144" i="1"/>
  <c r="X192" i="1" s="1"/>
  <c r="G287" i="1"/>
  <c r="G239" i="1" s="1"/>
  <c r="T287" i="1" s="1"/>
  <c r="G139" i="1"/>
  <c r="T187" i="1" s="1"/>
  <c r="L294" i="1"/>
  <c r="L246" i="1" s="1"/>
  <c r="Y294" i="1" s="1"/>
  <c r="L146" i="1"/>
  <c r="Y194" i="1" s="1"/>
  <c r="L283" i="1"/>
  <c r="L235" i="1" s="1"/>
  <c r="Y283" i="1" s="1"/>
  <c r="L135" i="1"/>
  <c r="Y183" i="1" s="1"/>
  <c r="J292" i="1"/>
  <c r="J244" i="1" s="1"/>
  <c r="W292" i="1" s="1"/>
  <c r="J144" i="1"/>
  <c r="W192" i="1" s="1"/>
  <c r="F133" i="1"/>
  <c r="S181" i="1" s="1"/>
  <c r="F281" i="1"/>
  <c r="F233" i="1" s="1"/>
  <c r="S281" i="1" s="1"/>
  <c r="J47" i="1"/>
  <c r="W95" i="1" s="1"/>
  <c r="AH95" i="1" s="1"/>
  <c r="L292" i="1"/>
  <c r="L244" i="1" s="1"/>
  <c r="Y292" i="1" s="1"/>
  <c r="L144" i="1"/>
  <c r="Y192" i="1" s="1"/>
  <c r="G283" i="1"/>
  <c r="G235" i="1" s="1"/>
  <c r="T283" i="1" s="1"/>
  <c r="G135" i="1"/>
  <c r="T183" i="1" s="1"/>
  <c r="F142" i="1"/>
  <c r="S190" i="1" s="1"/>
  <c r="F290" i="1"/>
  <c r="F242" i="1" s="1"/>
  <c r="S290" i="1" s="1"/>
  <c r="H290" i="1"/>
  <c r="H242" i="1" s="1"/>
  <c r="U290" i="1" s="1"/>
  <c r="H142" i="1"/>
  <c r="U190" i="1" s="1"/>
  <c r="L287" i="1"/>
  <c r="L239" i="1" s="1"/>
  <c r="Y287" i="1" s="1"/>
  <c r="L139" i="1"/>
  <c r="Y187" i="1" s="1"/>
  <c r="H282" i="1"/>
  <c r="H234" i="1" s="1"/>
  <c r="U282" i="1" s="1"/>
  <c r="H134" i="1"/>
  <c r="U182" i="1" s="1"/>
  <c r="H133" i="1"/>
  <c r="U181" i="1" s="1"/>
  <c r="H281" i="1"/>
  <c r="H233" i="1" s="1"/>
  <c r="U281" i="1" s="1"/>
  <c r="L285" i="1"/>
  <c r="L237" i="1" s="1"/>
  <c r="Y285" i="1" s="1"/>
  <c r="L137" i="1"/>
  <c r="Y185" i="1" s="1"/>
  <c r="J288" i="1"/>
  <c r="J240" i="1" s="1"/>
  <c r="W288" i="1" s="1"/>
  <c r="J140" i="1"/>
  <c r="W188" i="1" s="1"/>
  <c r="Q107" i="1"/>
  <c r="E11" i="3" s="1"/>
  <c r="W107" i="1"/>
  <c r="E131" i="3" s="1"/>
  <c r="I290" i="1"/>
  <c r="I242" i="1" s="1"/>
  <c r="V290" i="1" s="1"/>
  <c r="I142" i="1"/>
  <c r="V190" i="1" s="1"/>
  <c r="G133" i="1"/>
  <c r="T181" i="1" s="1"/>
  <c r="G281" i="1"/>
  <c r="G233" i="1" s="1"/>
  <c r="T281" i="1" s="1"/>
  <c r="G138" i="1"/>
  <c r="T186" i="1" s="1"/>
  <c r="G286" i="1"/>
  <c r="G238" i="1" s="1"/>
  <c r="T286" i="1" s="1"/>
  <c r="I287" i="1"/>
  <c r="I239" i="1" s="1"/>
  <c r="V287" i="1" s="1"/>
  <c r="I139" i="1"/>
  <c r="V187" i="1" s="1"/>
  <c r="H295" i="1"/>
  <c r="I294" i="1"/>
  <c r="I246" i="1" s="1"/>
  <c r="V294" i="1" s="1"/>
  <c r="I146" i="1"/>
  <c r="V194" i="1" s="1"/>
  <c r="F137" i="1"/>
  <c r="S185" i="1" s="1"/>
  <c r="F285" i="1"/>
  <c r="F237" i="1" s="1"/>
  <c r="S285" i="1" s="1"/>
  <c r="L141" i="1"/>
  <c r="Y189" i="1" s="1"/>
  <c r="L289" i="1"/>
  <c r="L241" i="1" s="1"/>
  <c r="Y289" i="1" s="1"/>
  <c r="I282" i="1"/>
  <c r="I234" i="1" s="1"/>
  <c r="V282" i="1" s="1"/>
  <c r="I134" i="1"/>
  <c r="V182" i="1" s="1"/>
  <c r="M279" i="1"/>
  <c r="M231" i="1" s="1"/>
  <c r="Z279" i="1" s="1"/>
  <c r="M131" i="1"/>
  <c r="Z179" i="1" s="1"/>
  <c r="I291" i="1"/>
  <c r="I243" i="1" s="1"/>
  <c r="V291" i="1" s="1"/>
  <c r="I143" i="1"/>
  <c r="V191" i="1" s="1"/>
  <c r="I283" i="1"/>
  <c r="I235" i="1" s="1"/>
  <c r="V283" i="1" s="1"/>
  <c r="I135" i="1"/>
  <c r="V183" i="1" s="1"/>
  <c r="G282" i="1"/>
  <c r="G234" i="1" s="1"/>
  <c r="T282" i="1" s="1"/>
  <c r="G134" i="1"/>
  <c r="T182" i="1" s="1"/>
  <c r="G294" i="1"/>
  <c r="G246" i="1" s="1"/>
  <c r="T294" i="1" s="1"/>
  <c r="G146" i="1"/>
  <c r="T194" i="1" s="1"/>
  <c r="H285" i="1"/>
  <c r="H237" i="1" s="1"/>
  <c r="U285" i="1" s="1"/>
  <c r="H137" i="1"/>
  <c r="U185" i="1" s="1"/>
  <c r="G141" i="1"/>
  <c r="T189" i="1" s="1"/>
  <c r="G289" i="1"/>
  <c r="G241" i="1" s="1"/>
  <c r="T289" i="1" s="1"/>
  <c r="J295" i="1"/>
  <c r="E290" i="1"/>
  <c r="E242" i="1" s="1"/>
  <c r="R290" i="1" s="1"/>
  <c r="E142" i="1"/>
  <c r="R190" i="1" s="1"/>
  <c r="E289" i="1"/>
  <c r="E241" i="1" s="1"/>
  <c r="R289" i="1" s="1"/>
  <c r="E141" i="1"/>
  <c r="R189" i="1" s="1"/>
  <c r="I295" i="1"/>
  <c r="I147" i="1"/>
  <c r="V195" i="1" s="1"/>
  <c r="H294" i="1"/>
  <c r="H246" i="1" s="1"/>
  <c r="U294" i="1" s="1"/>
  <c r="H146" i="1"/>
  <c r="U194" i="1" s="1"/>
  <c r="I289" i="1"/>
  <c r="I241" i="1" s="1"/>
  <c r="V289" i="1" s="1"/>
  <c r="I141" i="1"/>
  <c r="V189" i="1" s="1"/>
  <c r="G293" i="1"/>
  <c r="G245" i="1" s="1"/>
  <c r="T293" i="1" s="1"/>
  <c r="G145" i="1"/>
  <c r="T193" i="1" s="1"/>
  <c r="J286" i="1"/>
  <c r="J238" i="1" s="1"/>
  <c r="W286" i="1" s="1"/>
  <c r="J138" i="1"/>
  <c r="W186" i="1" s="1"/>
  <c r="F131" i="1"/>
  <c r="F279" i="1"/>
  <c r="F231" i="1" s="1"/>
  <c r="S279" i="1" s="1"/>
  <c r="H47" i="1"/>
  <c r="U95" i="1" s="1"/>
  <c r="AF95" i="1" s="1"/>
  <c r="G279" i="1"/>
  <c r="G231" i="1" s="1"/>
  <c r="T279" i="1" s="1"/>
  <c r="G131" i="1"/>
  <c r="T179" i="1" s="1"/>
  <c r="F284" i="1"/>
  <c r="F236" i="1" s="1"/>
  <c r="S284" i="1" s="1"/>
  <c r="F136" i="1"/>
  <c r="S184" i="1" s="1"/>
  <c r="K282" i="1"/>
  <c r="K234" i="1" s="1"/>
  <c r="X282" i="1" s="1"/>
  <c r="K134" i="1"/>
  <c r="X182" i="1" s="1"/>
  <c r="J282" i="1"/>
  <c r="J234" i="1" s="1"/>
  <c r="W282" i="1" s="1"/>
  <c r="J134" i="1"/>
  <c r="W182" i="1" s="1"/>
  <c r="K293" i="1"/>
  <c r="K245" i="1" s="1"/>
  <c r="X293" i="1" s="1"/>
  <c r="K145" i="1"/>
  <c r="X193" i="1" s="1"/>
  <c r="H286" i="1"/>
  <c r="H238" i="1" s="1"/>
  <c r="U286" i="1" s="1"/>
  <c r="H138" i="1"/>
  <c r="U186" i="1" s="1"/>
  <c r="K287" i="1"/>
  <c r="K239" i="1" s="1"/>
  <c r="X287" i="1" s="1"/>
  <c r="K139" i="1"/>
  <c r="X187" i="1" s="1"/>
  <c r="I284" i="1"/>
  <c r="I236" i="1" s="1"/>
  <c r="V284" i="1" s="1"/>
  <c r="I136" i="1"/>
  <c r="V184" i="1" s="1"/>
  <c r="E282" i="1"/>
  <c r="E234" i="1" s="1"/>
  <c r="R282" i="1" s="1"/>
  <c r="E134" i="1"/>
  <c r="R182" i="1" s="1"/>
  <c r="E281" i="1"/>
  <c r="E233" i="1" s="1"/>
  <c r="R281" i="1" s="1"/>
  <c r="E133" i="1"/>
  <c r="R181" i="1" s="1"/>
  <c r="H279" i="1"/>
  <c r="H231" i="1" s="1"/>
  <c r="U279" i="1" s="1"/>
  <c r="H131" i="1"/>
  <c r="U179" i="1" s="1"/>
  <c r="K288" i="1"/>
  <c r="K240" i="1" s="1"/>
  <c r="X288" i="1" s="1"/>
  <c r="K140" i="1"/>
  <c r="X188" i="1" s="1"/>
  <c r="K141" i="1"/>
  <c r="X189" i="1" s="1"/>
  <c r="K289" i="1"/>
  <c r="K241" i="1" s="1"/>
  <c r="X289" i="1" s="1"/>
  <c r="J143" i="1"/>
  <c r="W191" i="1" s="1"/>
  <c r="J291" i="1"/>
  <c r="J243" i="1" s="1"/>
  <c r="W291" i="1" s="1"/>
  <c r="I280" i="1"/>
  <c r="I232" i="1" s="1"/>
  <c r="V280" i="1" s="1"/>
  <c r="I132" i="1"/>
  <c r="V180" i="1" s="1"/>
  <c r="F146" i="1"/>
  <c r="S194" i="1" s="1"/>
  <c r="F294" i="1"/>
  <c r="F246" i="1" s="1"/>
  <c r="S294" i="1" s="1"/>
  <c r="J281" i="1"/>
  <c r="J233" i="1" s="1"/>
  <c r="W281" i="1" s="1"/>
  <c r="J133" i="1"/>
  <c r="W181" i="1" s="1"/>
  <c r="F289" i="1"/>
  <c r="F241" i="1" s="1"/>
  <c r="S289" i="1" s="1"/>
  <c r="F141" i="1"/>
  <c r="S189" i="1" s="1"/>
  <c r="J289" i="1"/>
  <c r="J241" i="1" s="1"/>
  <c r="W289" i="1" s="1"/>
  <c r="J141" i="1"/>
  <c r="W189" i="1" s="1"/>
  <c r="I47" i="1"/>
  <c r="V95" i="1" s="1"/>
  <c r="AG95" i="1" s="1"/>
  <c r="K279" i="1"/>
  <c r="K231" i="1" s="1"/>
  <c r="X279" i="1" s="1"/>
  <c r="K131" i="1"/>
  <c r="X179" i="1" s="1"/>
  <c r="E292" i="1"/>
  <c r="E244" i="1" s="1"/>
  <c r="R292" i="1" s="1"/>
  <c r="E144" i="1"/>
  <c r="R192" i="1" s="1"/>
  <c r="Y195" i="1"/>
  <c r="T195" i="1"/>
  <c r="S207" i="1" l="1"/>
  <c r="E45" i="3" s="1"/>
  <c r="R207" i="1"/>
  <c r="E25" i="3" s="1"/>
  <c r="W207" i="1"/>
  <c r="E125" i="3" s="1"/>
  <c r="S179" i="1"/>
  <c r="R107" i="1"/>
  <c r="E31" i="3" s="1"/>
  <c r="U7" i="1"/>
  <c r="E97" i="3" s="1"/>
  <c r="S7" i="1"/>
  <c r="E57" i="3" s="1"/>
  <c r="V7" i="1"/>
  <c r="E117" i="3" s="1"/>
  <c r="Y7" i="1"/>
  <c r="Q207" i="1"/>
  <c r="E5" i="3" s="1"/>
  <c r="T7" i="1"/>
  <c r="E77" i="3" s="1"/>
  <c r="Y207" i="1"/>
  <c r="E165" i="3" s="1"/>
  <c r="U107" i="1"/>
  <c r="I247" i="1"/>
  <c r="V295" i="1" s="1"/>
  <c r="J147" i="1"/>
  <c r="W195" i="1" s="1"/>
  <c r="H147" i="1"/>
  <c r="U195" i="1" s="1"/>
  <c r="J247" i="1"/>
  <c r="W295" i="1" s="1"/>
  <c r="H247" i="1"/>
  <c r="U295" i="1" s="1"/>
  <c r="U207" i="1" l="1"/>
  <c r="E85" i="3" s="1"/>
  <c r="E91" i="3"/>
  <c r="T207" i="1"/>
  <c r="E65" i="3" s="1"/>
  <c r="T107" i="1"/>
  <c r="V207" i="1"/>
  <c r="E105" i="3" s="1"/>
  <c r="V107" i="1"/>
  <c r="Y107" i="1"/>
  <c r="E171" i="3" l="1"/>
  <c r="E111" i="3"/>
  <c r="E71" i="3"/>
</calcChain>
</file>

<file path=xl/sharedStrings.xml><?xml version="1.0" encoding="utf-8"?>
<sst xmlns="http://schemas.openxmlformats.org/spreadsheetml/2006/main" count="197" uniqueCount="38">
  <si>
    <t>x</t>
  </si>
  <si>
    <t>y</t>
  </si>
  <si>
    <t>grid size</t>
  </si>
  <si>
    <t>Calculate x for 4 items horizontal</t>
  </si>
  <si>
    <t>Calculate y for above</t>
  </si>
  <si>
    <t>Calculate itemSpacing y</t>
  </si>
  <si>
    <t>itemSpacing</t>
  </si>
  <si>
    <t>&lt;aspectRatio name="16:9"&gt;</t>
  </si>
  <si>
    <t>&lt;/aspectRatio&gt;</t>
  </si>
  <si>
    <t>&lt;aspectRatio name="16:10"&gt;</t>
  </si>
  <si>
    <t>&lt;aspectRatio name="19.5:9"&gt;</t>
  </si>
  <si>
    <t>&lt;aspectRatio name="21:9"&gt;</t>
  </si>
  <si>
    <t>&lt;aspectRatio name="4:3"&gt;</t>
  </si>
  <si>
    <t>&lt;aspectRatio name="5:4"&gt;</t>
  </si>
  <si>
    <t>&lt;aspectRatio name="1:1"&gt;</t>
  </si>
  <si>
    <t>&lt;aspectRatio name="3:2"&gt;</t>
  </si>
  <si>
    <t xml:space="preserve"> </t>
  </si>
  <si>
    <t>&lt;theme&gt;</t>
  </si>
  <si>
    <t>&lt;/theme&gt;</t>
  </si>
  <si>
    <t>Number of items wide</t>
  </si>
  <si>
    <t>Number of items heigh</t>
  </si>
  <si>
    <t>Number of items displayed</t>
  </si>
  <si>
    <t>&lt;aspectRatio name="8:7"&gt;</t>
  </si>
  <si>
    <t>fontSize name</t>
  </si>
  <si>
    <t>medium</t>
  </si>
  <si>
    <t>&lt;/fontSize&gt;</t>
  </si>
  <si>
    <t>&lt;variables&gt;</t>
  </si>
  <si>
    <t>&lt;/variables&gt;</t>
  </si>
  <si>
    <t>large</t>
  </si>
  <si>
    <t>752-1440</t>
  </si>
  <si>
    <t>PalyStation X - grid coversize</t>
  </si>
  <si>
    <t>PlaySation X - grid coversize</t>
  </si>
  <si>
    <t>Small</t>
  </si>
  <si>
    <t>Medium</t>
  </si>
  <si>
    <t>Large</t>
  </si>
  <si>
    <t>small</t>
  </si>
  <si>
    <t>&lt;aspectRatio name="32:9"&gt;</t>
  </si>
  <si>
    <t>rounddown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</si>
</sst>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0" fontId="2" fillId="0" borderId="0" xfId="0" applyFont="1" applyAlignment="1">
      <alignment horizontal="right"/>
    </xf>
    <xf numFmtId="49" fontId="0" fillId="0" borderId="0" xfId="0" applyNumberForma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4</xdr:row>
          <xdr:rowOff>57150</xdr:rowOff>
        </xdr:from>
        <xdr:to>
          <xdr:col>13</xdr:col>
          <xdr:colOff>142875</xdr:colOff>
          <xdr:row>7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35B92-0D38-4737-BB46-F19A3DC82FA6}">
  <sheetPr codeName="Sheet1"/>
  <dimension ref="A1:AL295"/>
  <sheetViews>
    <sheetView zoomScale="115" zoomScaleNormal="115" workbookViewId="0">
      <selection activeCell="N279" sqref="N279"/>
    </sheetView>
  </sheetViews>
  <sheetFormatPr defaultRowHeight="15" x14ac:dyDescent="0.25"/>
  <sheetData>
    <row r="1" spans="1:33" ht="26.25" x14ac:dyDescent="0.25">
      <c r="E1" s="1" t="s">
        <v>30</v>
      </c>
      <c r="G1" s="2"/>
      <c r="H1" s="2"/>
      <c r="I1" s="2"/>
      <c r="J1" s="2"/>
      <c r="K1" s="2" t="s">
        <v>6</v>
      </c>
      <c r="L1">
        <v>5.0000000000000001E-3</v>
      </c>
      <c r="P1" s="2" t="s">
        <v>2</v>
      </c>
      <c r="Q1" s="2" t="s">
        <v>0</v>
      </c>
      <c r="R1">
        <v>0.69899999999999995</v>
      </c>
      <c r="T1" t="s">
        <v>37</v>
      </c>
      <c r="U1">
        <v>1E-4</v>
      </c>
    </row>
    <row r="2" spans="1:33" x14ac:dyDescent="0.25">
      <c r="A2" s="6" t="s">
        <v>34</v>
      </c>
      <c r="E2" s="1" t="s">
        <v>3</v>
      </c>
      <c r="G2" s="2"/>
      <c r="H2" s="2"/>
      <c r="I2" s="2"/>
      <c r="J2" s="2"/>
      <c r="K2" s="2"/>
      <c r="P2" s="2"/>
      <c r="Q2" s="2" t="s">
        <v>1</v>
      </c>
      <c r="R2">
        <v>0.8</v>
      </c>
    </row>
    <row r="3" spans="1:33" x14ac:dyDescent="0.25">
      <c r="E3" s="3">
        <v>1</v>
      </c>
      <c r="F3" s="3">
        <v>8</v>
      </c>
      <c r="G3" s="3">
        <v>5</v>
      </c>
      <c r="H3" s="3">
        <v>4</v>
      </c>
      <c r="I3" s="3">
        <v>3</v>
      </c>
      <c r="J3" s="3">
        <v>16</v>
      </c>
      <c r="K3" s="3">
        <v>16</v>
      </c>
      <c r="L3" s="3">
        <v>19.5</v>
      </c>
      <c r="M3" s="3">
        <v>21</v>
      </c>
      <c r="N3" s="3">
        <v>32</v>
      </c>
      <c r="O3" s="3"/>
      <c r="Q3" s="3">
        <v>1</v>
      </c>
      <c r="R3" s="3">
        <v>8</v>
      </c>
      <c r="S3" s="3">
        <v>5</v>
      </c>
      <c r="T3" s="3">
        <v>4</v>
      </c>
      <c r="U3" s="3">
        <v>3</v>
      </c>
      <c r="V3" s="3">
        <v>16</v>
      </c>
      <c r="W3" s="3">
        <v>16</v>
      </c>
      <c r="X3" s="3">
        <v>19.5</v>
      </c>
      <c r="Y3" s="3">
        <v>21</v>
      </c>
      <c r="Z3" s="3">
        <v>32</v>
      </c>
      <c r="AG3" s="5" t="str">
        <f t="shared" ref="AG3:AG19" si="0">B7&amp;"-"&amp;C7</f>
        <v>1-1</v>
      </c>
    </row>
    <row r="4" spans="1:33" x14ac:dyDescent="0.25">
      <c r="E4" s="3">
        <v>1</v>
      </c>
      <c r="F4" s="3">
        <v>7</v>
      </c>
      <c r="G4" s="3">
        <v>4</v>
      </c>
      <c r="H4" s="3">
        <v>3</v>
      </c>
      <c r="I4" s="3">
        <v>2</v>
      </c>
      <c r="J4" s="3">
        <v>10</v>
      </c>
      <c r="K4" s="3">
        <v>9</v>
      </c>
      <c r="L4" s="3">
        <v>9</v>
      </c>
      <c r="M4" s="3">
        <v>9</v>
      </c>
      <c r="N4" s="3">
        <v>9</v>
      </c>
      <c r="O4" s="3"/>
      <c r="Q4" s="3">
        <v>1</v>
      </c>
      <c r="R4" s="3">
        <v>7</v>
      </c>
      <c r="S4" s="3">
        <v>4</v>
      </c>
      <c r="T4" s="3">
        <v>3</v>
      </c>
      <c r="U4" s="3">
        <v>2</v>
      </c>
      <c r="V4" s="3">
        <v>10</v>
      </c>
      <c r="W4" s="3">
        <v>9</v>
      </c>
      <c r="X4" s="3">
        <v>9</v>
      </c>
      <c r="Y4" s="3">
        <v>9</v>
      </c>
      <c r="Z4" s="3">
        <v>9</v>
      </c>
      <c r="AG4" s="5" t="str">
        <f t="shared" si="0"/>
        <v>1-2</v>
      </c>
    </row>
    <row r="5" spans="1:33" x14ac:dyDescent="0.25">
      <c r="D5" s="3" t="s">
        <v>0</v>
      </c>
      <c r="E5" s="3">
        <v>720</v>
      </c>
      <c r="F5">
        <v>1240</v>
      </c>
      <c r="G5" s="3">
        <v>900</v>
      </c>
      <c r="H5" s="3">
        <v>960</v>
      </c>
      <c r="I5" s="3">
        <v>1080</v>
      </c>
      <c r="J5" s="3">
        <v>1152</v>
      </c>
      <c r="K5" s="3">
        <v>1280</v>
      </c>
      <c r="L5" s="3">
        <v>1560</v>
      </c>
      <c r="M5" s="3">
        <v>1680</v>
      </c>
      <c r="N5">
        <v>2560</v>
      </c>
      <c r="AG5" s="5" t="str">
        <f t="shared" si="0"/>
        <v>2-3</v>
      </c>
    </row>
    <row r="6" spans="1:33" x14ac:dyDescent="0.25">
      <c r="B6" s="2" t="s">
        <v>0</v>
      </c>
      <c r="C6" s="2" t="s">
        <v>1</v>
      </c>
      <c r="D6" s="3" t="s">
        <v>1</v>
      </c>
      <c r="E6" s="3">
        <v>720</v>
      </c>
      <c r="F6" s="3">
        <v>1080</v>
      </c>
      <c r="G6" s="3">
        <v>720</v>
      </c>
      <c r="H6" s="3">
        <v>720</v>
      </c>
      <c r="I6" s="3">
        <v>720</v>
      </c>
      <c r="J6" s="3">
        <v>720</v>
      </c>
      <c r="K6" s="3">
        <v>720</v>
      </c>
      <c r="L6" s="3">
        <v>720</v>
      </c>
      <c r="M6" s="3">
        <v>720</v>
      </c>
      <c r="N6" s="3">
        <v>720</v>
      </c>
      <c r="O6" s="3"/>
      <c r="Q6" t="str">
        <f>xml!dropdownList</f>
        <v>752-1440</v>
      </c>
      <c r="S6" t="s">
        <v>16</v>
      </c>
      <c r="AG6" s="5" t="str">
        <f t="shared" si="0"/>
        <v>3-4</v>
      </c>
    </row>
    <row r="7" spans="1:33" x14ac:dyDescent="0.25">
      <c r="A7">
        <f>B7/C7</f>
        <v>1</v>
      </c>
      <c r="B7" s="3">
        <v>1</v>
      </c>
      <c r="C7" s="3">
        <v>1</v>
      </c>
      <c r="E7">
        <f>($R$1-((E79-1)*$L$1))/(E79)-$U$1</f>
        <v>0.22956666666666667</v>
      </c>
      <c r="F7">
        <f t="shared" ref="F7:N7" si="1">($R$1-((F79-1)*$L$1))/(F79)-$U$1</f>
        <v>0.22956666666666667</v>
      </c>
      <c r="G7">
        <f t="shared" si="1"/>
        <v>0.1709</v>
      </c>
      <c r="H7">
        <f t="shared" si="1"/>
        <v>0.1709</v>
      </c>
      <c r="I7">
        <f t="shared" si="1"/>
        <v>0.1709</v>
      </c>
      <c r="J7">
        <f t="shared" si="1"/>
        <v>0.1709</v>
      </c>
      <c r="K7">
        <f t="shared" si="1"/>
        <v>0.1709</v>
      </c>
      <c r="L7">
        <f t="shared" si="1"/>
        <v>0.1709</v>
      </c>
      <c r="M7">
        <f t="shared" si="1"/>
        <v>0.13569999999999999</v>
      </c>
      <c r="N7">
        <f t="shared" si="1"/>
        <v>9.5471428571428554E-2</v>
      </c>
      <c r="Q7" t="str">
        <f t="shared" ref="Q7:Z7" ca="1" si="2">"&lt;gridItemSize&gt;"&amp;ROUNDDOWN((OFFSET(E$7,(MATCH($Q$6,$AG$3:$AG$19,0)-1),0)),5)&amp;" "&amp;ROUNDDOWN((OFFSET(E$31,(MATCH($Q$6,$AG$3:$AG$19,0)-1),0)),5)&amp;"&lt;/gridItemSize&gt;"</f>
        <v>&lt;gridItemSize&gt;0.1709 0.32725&lt;/gridItemSize&gt;</v>
      </c>
      <c r="R7" t="str">
        <f t="shared" ca="1" si="2"/>
        <v>&lt;gridItemSize&gt;0.1709 0.37573&lt;/gridItemSize&gt;</v>
      </c>
      <c r="S7" t="str">
        <f t="shared" ca="1" si="2"/>
        <v>&lt;gridItemSize&gt;0.1357 0.32481&lt;/gridItemSize&gt;</v>
      </c>
      <c r="T7" t="str">
        <f t="shared" ca="1" si="2"/>
        <v>&lt;gridItemSize&gt;0.1357 0.34646&lt;/gridItemSize&gt;</v>
      </c>
      <c r="U7" t="str">
        <f t="shared" ca="1" si="2"/>
        <v>&lt;gridItemSize&gt;0.1357 0.38977&lt;/gridItemSize&gt;</v>
      </c>
      <c r="V7" t="str">
        <f t="shared" ca="1" si="2"/>
        <v>&lt;gridItemSize&gt;0.1357 0.41576&lt;/gridItemSize&gt;</v>
      </c>
      <c r="W7" t="str">
        <f t="shared" ca="1" si="2"/>
        <v>&lt;gridItemSize&gt;0.1357 0.46195&lt;/gridItemSize&gt;</v>
      </c>
      <c r="X7" t="str">
        <f t="shared" ca="1" si="2"/>
        <v>&lt;gridItemSize&gt;0.1357 0.56301&lt;/gridItemSize&gt;</v>
      </c>
      <c r="Y7" t="str">
        <f t="shared" ca="1" si="2"/>
        <v>&lt;gridItemSize&gt;0.11223 0.50146&lt;/gridItemSize&gt;</v>
      </c>
      <c r="Z7" t="str">
        <f t="shared" ca="1" si="2"/>
        <v>&lt;gridItemSize&gt;0.0829 0.56442&lt;/gridItemSize&gt;</v>
      </c>
      <c r="AG7" s="5" t="str">
        <f t="shared" si="0"/>
        <v>3-5</v>
      </c>
    </row>
    <row r="8" spans="1:33" x14ac:dyDescent="0.25">
      <c r="A8">
        <f t="shared" ref="A8:A23" si="3">B8/C8</f>
        <v>0.5</v>
      </c>
      <c r="B8" s="3">
        <v>1</v>
      </c>
      <c r="C8" s="3">
        <v>2</v>
      </c>
      <c r="E8">
        <f t="shared" ref="E8:N8" si="4">($R$1-((E80-1)*$L$1))/(E80)-$U$1</f>
        <v>0.1709</v>
      </c>
      <c r="F8">
        <f t="shared" si="4"/>
        <v>0.1709</v>
      </c>
      <c r="G8">
        <f t="shared" si="4"/>
        <v>0.13569999999999999</v>
      </c>
      <c r="H8">
        <f t="shared" si="4"/>
        <v>0.13569999999999999</v>
      </c>
      <c r="I8">
        <f t="shared" si="4"/>
        <v>0.13569999999999999</v>
      </c>
      <c r="J8">
        <f t="shared" si="4"/>
        <v>0.13569999999999999</v>
      </c>
      <c r="K8">
        <f t="shared" si="4"/>
        <v>0.13569999999999999</v>
      </c>
      <c r="L8">
        <f t="shared" si="4"/>
        <v>0.13569999999999999</v>
      </c>
      <c r="M8">
        <f t="shared" si="4"/>
        <v>0.11223333333333332</v>
      </c>
      <c r="N8">
        <f t="shared" si="4"/>
        <v>8.2899999999999988E-2</v>
      </c>
      <c r="Q8" t="str">
        <f t="shared" ref="Q8:Z8" ca="1" si="5">"&lt;gridItemSpacing&gt;"&amp;$L$1&amp;" "&amp;ROUNDDOWN((OFFSET(E$55,(MATCH($Q$6,$AG$3:$AG$19,0)-1),0)),5)&amp;"&lt;/gridItemSpacing&gt;"</f>
        <v>&lt;gridItemSpacing&gt;0.005 0.005&lt;/gridItemSpacing&gt;</v>
      </c>
      <c r="R8" t="str">
        <f t="shared" ca="1" si="5"/>
        <v>&lt;gridItemSpacing&gt;0.005 0.00574&lt;/gridItemSpacing&gt;</v>
      </c>
      <c r="S8" t="str">
        <f t="shared" ca="1" si="5"/>
        <v>&lt;gridItemSpacing&gt;0.005 0.00625&lt;/gridItemSpacing&gt;</v>
      </c>
      <c r="T8" t="str">
        <f t="shared" ca="1" si="5"/>
        <v>&lt;gridItemSpacing&gt;0.005 0.00666&lt;/gridItemSpacing&gt;</v>
      </c>
      <c r="U8" t="str">
        <f t="shared" ca="1" si="5"/>
        <v>&lt;gridItemSpacing&gt;0.005 0.0075&lt;/gridItemSpacing&gt;</v>
      </c>
      <c r="V8" t="str">
        <f t="shared" ca="1" si="5"/>
        <v>&lt;gridItemSpacing&gt;0.005 0.008&lt;/gridItemSpacing&gt;</v>
      </c>
      <c r="W8" t="str">
        <f t="shared" ca="1" si="5"/>
        <v>&lt;gridItemSpacing&gt;0.005 0.00888&lt;/gridItemSpacing&gt;</v>
      </c>
      <c r="X8" t="str">
        <f t="shared" ca="1" si="5"/>
        <v>&lt;gridItemSpacing&gt;0.005 0.01083&lt;/gridItemSpacing&gt;</v>
      </c>
      <c r="Y8" t="str">
        <f t="shared" ca="1" si="5"/>
        <v>&lt;gridItemSpacing&gt;0.005 0.01166&lt;/gridItemSpacing&gt;</v>
      </c>
      <c r="Z8" t="str">
        <f t="shared" ca="1" si="5"/>
        <v>&lt;gridItemSpacing&gt;0.005 0.01777&lt;/gridItemSpacing&gt;</v>
      </c>
      <c r="AG8" s="5" t="str">
        <f t="shared" si="0"/>
        <v>4-3</v>
      </c>
    </row>
    <row r="9" spans="1:33" x14ac:dyDescent="0.25">
      <c r="A9">
        <f t="shared" si="3"/>
        <v>0.66666666666666663</v>
      </c>
      <c r="B9" s="3">
        <v>2</v>
      </c>
      <c r="C9" s="3">
        <v>3</v>
      </c>
      <c r="E9">
        <f t="shared" ref="E9:N9" si="6">($R$1-((E81-1)*$L$1))/(E81)-$U$1</f>
        <v>0.22956666666666667</v>
      </c>
      <c r="F9">
        <f t="shared" si="6"/>
        <v>0.22956666666666667</v>
      </c>
      <c r="G9">
        <f t="shared" si="6"/>
        <v>0.1709</v>
      </c>
      <c r="H9">
        <f t="shared" si="6"/>
        <v>0.1709</v>
      </c>
      <c r="I9">
        <f t="shared" si="6"/>
        <v>0.1709</v>
      </c>
      <c r="J9">
        <f t="shared" si="6"/>
        <v>0.1709</v>
      </c>
      <c r="K9">
        <f t="shared" si="6"/>
        <v>0.1709</v>
      </c>
      <c r="L9">
        <f t="shared" si="6"/>
        <v>0.1709</v>
      </c>
      <c r="M9">
        <f t="shared" si="6"/>
        <v>0.13569999999999999</v>
      </c>
      <c r="N9">
        <f t="shared" si="6"/>
        <v>9.5471428571428554E-2</v>
      </c>
      <c r="AG9" s="5" t="str">
        <f t="shared" si="0"/>
        <v>5-7</v>
      </c>
    </row>
    <row r="10" spans="1:33" x14ac:dyDescent="0.25">
      <c r="A10">
        <f t="shared" si="3"/>
        <v>0.75</v>
      </c>
      <c r="B10" s="3">
        <v>3</v>
      </c>
      <c r="C10" s="3">
        <v>4</v>
      </c>
      <c r="E10">
        <f t="shared" ref="E10:N10" si="7">($R$1-((E82-1)*$L$1))/(E82)-$U$1</f>
        <v>0.22956666666666667</v>
      </c>
      <c r="F10">
        <f t="shared" si="7"/>
        <v>0.22956666666666667</v>
      </c>
      <c r="G10">
        <f t="shared" si="7"/>
        <v>0.1709</v>
      </c>
      <c r="H10">
        <f t="shared" si="7"/>
        <v>0.1709</v>
      </c>
      <c r="I10">
        <f t="shared" si="7"/>
        <v>0.1709</v>
      </c>
      <c r="J10">
        <f t="shared" si="7"/>
        <v>0.1709</v>
      </c>
      <c r="K10">
        <f t="shared" si="7"/>
        <v>0.1709</v>
      </c>
      <c r="L10">
        <f t="shared" si="7"/>
        <v>0.1709</v>
      </c>
      <c r="M10">
        <f t="shared" si="7"/>
        <v>0.13569999999999999</v>
      </c>
      <c r="N10">
        <f t="shared" si="7"/>
        <v>9.5471428571428554E-2</v>
      </c>
      <c r="AG10" s="5" t="str">
        <f t="shared" si="0"/>
        <v>99-168</v>
      </c>
    </row>
    <row r="11" spans="1:33" x14ac:dyDescent="0.25">
      <c r="A11">
        <f t="shared" si="3"/>
        <v>0.6</v>
      </c>
      <c r="B11" s="3">
        <v>3</v>
      </c>
      <c r="C11" s="3">
        <v>5</v>
      </c>
      <c r="E11">
        <f t="shared" ref="E11:N11" si="8">($R$1-((E83-1)*$L$1))/(E83)-$U$1</f>
        <v>0.1709</v>
      </c>
      <c r="F11">
        <f t="shared" si="8"/>
        <v>0.1709</v>
      </c>
      <c r="G11">
        <f t="shared" si="8"/>
        <v>0.13569999999999999</v>
      </c>
      <c r="H11">
        <f t="shared" si="8"/>
        <v>0.13569999999999999</v>
      </c>
      <c r="I11">
        <f t="shared" si="8"/>
        <v>0.13569999999999999</v>
      </c>
      <c r="J11">
        <f t="shared" si="8"/>
        <v>0.13569999999999999</v>
      </c>
      <c r="K11">
        <f t="shared" si="8"/>
        <v>0.13569999999999999</v>
      </c>
      <c r="L11">
        <f t="shared" si="8"/>
        <v>0.13569999999999999</v>
      </c>
      <c r="M11">
        <f t="shared" si="8"/>
        <v>0.11223333333333332</v>
      </c>
      <c r="N11">
        <f t="shared" si="8"/>
        <v>8.2899999999999988E-2</v>
      </c>
      <c r="Q11" s="4"/>
      <c r="R11" s="4"/>
      <c r="S11" s="4"/>
      <c r="T11" s="4"/>
      <c r="U11" s="4"/>
      <c r="V11" s="4"/>
      <c r="W11" s="4"/>
      <c r="X11" s="4"/>
      <c r="AG11" s="5" t="str">
        <f t="shared" si="0"/>
        <v>105-170</v>
      </c>
    </row>
    <row r="12" spans="1:33" x14ac:dyDescent="0.25">
      <c r="A12">
        <f t="shared" si="3"/>
        <v>1.3333333333333333</v>
      </c>
      <c r="B12" s="3">
        <v>4</v>
      </c>
      <c r="C12" s="3">
        <v>3</v>
      </c>
      <c r="E12">
        <f t="shared" ref="E12:N12" si="9">($R$1-((E84-1)*$L$1))/(E84)-$U$1</f>
        <v>0.34689999999999999</v>
      </c>
      <c r="F12">
        <f t="shared" si="9"/>
        <v>0.34689999999999999</v>
      </c>
      <c r="G12">
        <f t="shared" si="9"/>
        <v>0.22956666666666667</v>
      </c>
      <c r="H12">
        <f t="shared" si="9"/>
        <v>0.22956666666666667</v>
      </c>
      <c r="I12">
        <f t="shared" si="9"/>
        <v>0.22956666666666667</v>
      </c>
      <c r="J12">
        <f t="shared" si="9"/>
        <v>0.22956666666666667</v>
      </c>
      <c r="K12">
        <f t="shared" si="9"/>
        <v>0.22956666666666667</v>
      </c>
      <c r="L12">
        <f t="shared" si="9"/>
        <v>0.22956666666666667</v>
      </c>
      <c r="M12">
        <f t="shared" si="9"/>
        <v>0.1709</v>
      </c>
      <c r="N12">
        <f t="shared" si="9"/>
        <v>0.11223333333333332</v>
      </c>
      <c r="AG12" s="5" t="str">
        <f t="shared" si="0"/>
        <v>112-67</v>
      </c>
    </row>
    <row r="13" spans="1:33" x14ac:dyDescent="0.25">
      <c r="A13">
        <f t="shared" si="3"/>
        <v>0.7142857142857143</v>
      </c>
      <c r="B13" s="3">
        <v>5</v>
      </c>
      <c r="C13" s="3">
        <v>7</v>
      </c>
      <c r="E13">
        <f t="shared" ref="E13:N13" si="10">($R$1-((E85-1)*$L$1))/(E85)-$U$1</f>
        <v>0.22956666666666667</v>
      </c>
      <c r="F13">
        <f t="shared" si="10"/>
        <v>0.22956666666666667</v>
      </c>
      <c r="G13">
        <f t="shared" si="10"/>
        <v>0.1709</v>
      </c>
      <c r="H13">
        <f t="shared" si="10"/>
        <v>0.1709</v>
      </c>
      <c r="I13">
        <f t="shared" si="10"/>
        <v>0.1709</v>
      </c>
      <c r="J13">
        <f t="shared" si="10"/>
        <v>0.1709</v>
      </c>
      <c r="K13">
        <f t="shared" si="10"/>
        <v>0.1709</v>
      </c>
      <c r="L13">
        <f t="shared" si="10"/>
        <v>0.1709</v>
      </c>
      <c r="M13">
        <f t="shared" si="10"/>
        <v>0.13569999999999999</v>
      </c>
      <c r="N13">
        <f t="shared" si="10"/>
        <v>9.5471428571428554E-2</v>
      </c>
      <c r="AG13" s="5" t="str">
        <f t="shared" si="0"/>
        <v>135-172</v>
      </c>
    </row>
    <row r="14" spans="1:33" x14ac:dyDescent="0.25">
      <c r="A14">
        <f t="shared" si="3"/>
        <v>0.5892857142857143</v>
      </c>
      <c r="B14" s="3">
        <v>99</v>
      </c>
      <c r="C14" s="3">
        <v>168</v>
      </c>
      <c r="E14">
        <f t="shared" ref="E14:N14" si="11">($R$1-((E86-1)*$L$1))/(E86)-$U$1</f>
        <v>0.1709</v>
      </c>
      <c r="F14">
        <f t="shared" si="11"/>
        <v>0.1709</v>
      </c>
      <c r="G14">
        <f t="shared" si="11"/>
        <v>0.13569999999999999</v>
      </c>
      <c r="H14">
        <f t="shared" si="11"/>
        <v>0.13569999999999999</v>
      </c>
      <c r="I14">
        <f t="shared" si="11"/>
        <v>0.13569999999999999</v>
      </c>
      <c r="J14">
        <f t="shared" si="11"/>
        <v>0.13569999999999999</v>
      </c>
      <c r="K14">
        <f t="shared" si="11"/>
        <v>0.13569999999999999</v>
      </c>
      <c r="L14">
        <f t="shared" si="11"/>
        <v>0.13569999999999999</v>
      </c>
      <c r="M14">
        <f t="shared" si="11"/>
        <v>0.11223333333333332</v>
      </c>
      <c r="N14">
        <f t="shared" si="11"/>
        <v>8.2899999999999988E-2</v>
      </c>
      <c r="AG14" s="5" t="str">
        <f t="shared" si="0"/>
        <v>143-207</v>
      </c>
    </row>
    <row r="15" spans="1:33" x14ac:dyDescent="0.25">
      <c r="A15">
        <f t="shared" si="3"/>
        <v>0.61764705882352944</v>
      </c>
      <c r="B15" s="3">
        <v>105</v>
      </c>
      <c r="C15" s="3">
        <v>170</v>
      </c>
      <c r="E15">
        <f t="shared" ref="E15:N15" si="12">($R$1-((E87-1)*$L$1))/(E87)-$U$1</f>
        <v>0.1709</v>
      </c>
      <c r="F15">
        <f t="shared" si="12"/>
        <v>0.1709</v>
      </c>
      <c r="G15">
        <f t="shared" si="12"/>
        <v>0.13569999999999999</v>
      </c>
      <c r="H15">
        <f t="shared" si="12"/>
        <v>0.13569999999999999</v>
      </c>
      <c r="I15">
        <f t="shared" si="12"/>
        <v>0.13569999999999999</v>
      </c>
      <c r="J15">
        <f t="shared" si="12"/>
        <v>0.13569999999999999</v>
      </c>
      <c r="K15">
        <f t="shared" si="12"/>
        <v>0.13569999999999999</v>
      </c>
      <c r="L15">
        <f t="shared" si="12"/>
        <v>0.13569999999999999</v>
      </c>
      <c r="M15">
        <f t="shared" si="12"/>
        <v>0.11223333333333332</v>
      </c>
      <c r="N15">
        <f t="shared" si="12"/>
        <v>8.2899999999999988E-2</v>
      </c>
      <c r="AG15" s="5" t="str">
        <f t="shared" si="0"/>
        <v>145-205</v>
      </c>
    </row>
    <row r="16" spans="1:33" x14ac:dyDescent="0.25">
      <c r="A16">
        <f t="shared" si="3"/>
        <v>1.6716417910447761</v>
      </c>
      <c r="B16" s="3">
        <v>112</v>
      </c>
      <c r="C16" s="3">
        <v>67</v>
      </c>
      <c r="E16">
        <f t="shared" ref="E16:N16" si="13">($R$1-((E88-1)*$L$1))/(E88)-$U$1</f>
        <v>0.34689999999999999</v>
      </c>
      <c r="F16">
        <f t="shared" si="13"/>
        <v>0.34689999999999999</v>
      </c>
      <c r="G16">
        <f t="shared" si="13"/>
        <v>0.22956666666666667</v>
      </c>
      <c r="H16">
        <f t="shared" si="13"/>
        <v>0.22956666666666667</v>
      </c>
      <c r="I16">
        <f t="shared" si="13"/>
        <v>0.22956666666666667</v>
      </c>
      <c r="J16">
        <f t="shared" si="13"/>
        <v>0.22956666666666667</v>
      </c>
      <c r="K16">
        <f t="shared" si="13"/>
        <v>0.22956666666666667</v>
      </c>
      <c r="L16">
        <f t="shared" si="13"/>
        <v>0.22956666666666667</v>
      </c>
      <c r="M16">
        <f t="shared" si="13"/>
        <v>0.1709</v>
      </c>
      <c r="N16">
        <f t="shared" si="13"/>
        <v>0.11223333333333332</v>
      </c>
      <c r="AG16" s="5" t="str">
        <f t="shared" si="0"/>
        <v>243-340</v>
      </c>
    </row>
    <row r="17" spans="1:33" x14ac:dyDescent="0.25">
      <c r="A17">
        <f t="shared" si="3"/>
        <v>0.78488372093023251</v>
      </c>
      <c r="B17" s="3">
        <v>135</v>
      </c>
      <c r="C17" s="3">
        <v>172</v>
      </c>
      <c r="E17">
        <f t="shared" ref="E17:N17" si="14">($R$1-((E89-1)*$L$1))/(E89)-$U$1</f>
        <v>0.22956666666666667</v>
      </c>
      <c r="F17">
        <f t="shared" si="14"/>
        <v>0.22956666666666667</v>
      </c>
      <c r="G17">
        <f t="shared" si="14"/>
        <v>0.1709</v>
      </c>
      <c r="H17">
        <f t="shared" si="14"/>
        <v>0.1709</v>
      </c>
      <c r="I17">
        <f t="shared" si="14"/>
        <v>0.1709</v>
      </c>
      <c r="J17">
        <f t="shared" si="14"/>
        <v>0.1709</v>
      </c>
      <c r="K17">
        <f t="shared" si="14"/>
        <v>0.1709</v>
      </c>
      <c r="L17">
        <f t="shared" si="14"/>
        <v>0.1709</v>
      </c>
      <c r="M17">
        <f t="shared" si="14"/>
        <v>0.13569999999999999</v>
      </c>
      <c r="N17">
        <f t="shared" si="14"/>
        <v>9.5471428571428554E-2</v>
      </c>
      <c r="AG17" s="5" t="str">
        <f t="shared" si="0"/>
        <v>257-229</v>
      </c>
    </row>
    <row r="18" spans="1:33" x14ac:dyDescent="0.25">
      <c r="A18">
        <f t="shared" si="3"/>
        <v>0.6908212560386473</v>
      </c>
      <c r="B18" s="3">
        <v>143</v>
      </c>
      <c r="C18" s="3">
        <v>207</v>
      </c>
      <c r="E18">
        <f t="shared" ref="E18:N18" si="15">($R$1-((E90-1)*$L$1))/(E90)-$U$1</f>
        <v>0.22956666666666667</v>
      </c>
      <c r="F18">
        <f t="shared" si="15"/>
        <v>0.22956666666666667</v>
      </c>
      <c r="G18">
        <f t="shared" si="15"/>
        <v>0.1709</v>
      </c>
      <c r="H18">
        <f t="shared" si="15"/>
        <v>0.1709</v>
      </c>
      <c r="I18">
        <f t="shared" si="15"/>
        <v>0.1709</v>
      </c>
      <c r="J18">
        <f t="shared" si="15"/>
        <v>0.1709</v>
      </c>
      <c r="K18">
        <f t="shared" si="15"/>
        <v>0.1709</v>
      </c>
      <c r="L18">
        <f t="shared" si="15"/>
        <v>0.1709</v>
      </c>
      <c r="M18">
        <f t="shared" si="15"/>
        <v>0.13569999999999999</v>
      </c>
      <c r="N18">
        <f t="shared" si="15"/>
        <v>9.5471428571428554E-2</v>
      </c>
      <c r="AG18" s="5" t="str">
        <f t="shared" si="0"/>
        <v>373-436</v>
      </c>
    </row>
    <row r="19" spans="1:33" x14ac:dyDescent="0.25">
      <c r="A19">
        <f t="shared" si="3"/>
        <v>0.70731707317073167</v>
      </c>
      <c r="B19" s="3">
        <v>145</v>
      </c>
      <c r="C19" s="3">
        <v>205</v>
      </c>
      <c r="E19">
        <f t="shared" ref="E19:N19" si="16">($R$1-((E91-1)*$L$1))/(E91)-$U$1</f>
        <v>0.22956666666666667</v>
      </c>
      <c r="F19">
        <f t="shared" si="16"/>
        <v>0.22956666666666667</v>
      </c>
      <c r="G19">
        <f t="shared" si="16"/>
        <v>0.1709</v>
      </c>
      <c r="H19">
        <f t="shared" si="16"/>
        <v>0.1709</v>
      </c>
      <c r="I19">
        <f t="shared" si="16"/>
        <v>0.1709</v>
      </c>
      <c r="J19">
        <f t="shared" si="16"/>
        <v>0.1709</v>
      </c>
      <c r="K19">
        <f t="shared" si="16"/>
        <v>0.1709</v>
      </c>
      <c r="L19">
        <f t="shared" si="16"/>
        <v>0.1709</v>
      </c>
      <c r="M19">
        <f t="shared" si="16"/>
        <v>0.13569999999999999</v>
      </c>
      <c r="N19">
        <f t="shared" si="16"/>
        <v>9.5471428571428554E-2</v>
      </c>
      <c r="AG19" s="5" t="str">
        <f t="shared" si="0"/>
        <v>752-1440</v>
      </c>
    </row>
    <row r="20" spans="1:33" x14ac:dyDescent="0.25">
      <c r="A20">
        <f t="shared" si="3"/>
        <v>0.71470588235294119</v>
      </c>
      <c r="B20" s="3">
        <v>243</v>
      </c>
      <c r="C20" s="3">
        <v>340</v>
      </c>
      <c r="E20">
        <f t="shared" ref="E20:N20" si="17">($R$1-((E92-1)*$L$1))/(E92)-$U$1</f>
        <v>0.22956666666666667</v>
      </c>
      <c r="F20">
        <f t="shared" si="17"/>
        <v>0.22956666666666667</v>
      </c>
      <c r="G20">
        <f t="shared" si="17"/>
        <v>0.1709</v>
      </c>
      <c r="H20">
        <f t="shared" si="17"/>
        <v>0.1709</v>
      </c>
      <c r="I20">
        <f t="shared" si="17"/>
        <v>0.1709</v>
      </c>
      <c r="J20">
        <f t="shared" si="17"/>
        <v>0.1709</v>
      </c>
      <c r="K20">
        <f t="shared" si="17"/>
        <v>0.1709</v>
      </c>
      <c r="L20">
        <f t="shared" si="17"/>
        <v>0.1709</v>
      </c>
      <c r="M20">
        <f t="shared" si="17"/>
        <v>0.13569999999999999</v>
      </c>
      <c r="N20">
        <f t="shared" si="17"/>
        <v>9.5471428571428554E-2</v>
      </c>
    </row>
    <row r="21" spans="1:33" x14ac:dyDescent="0.25">
      <c r="A21">
        <f t="shared" si="3"/>
        <v>1.1222707423580787</v>
      </c>
      <c r="B21" s="3">
        <v>257</v>
      </c>
      <c r="C21" s="3">
        <v>229</v>
      </c>
      <c r="E21">
        <f t="shared" ref="E21:N21" si="18">($R$1-((E93-1)*$L$1))/(E93)-$U$1</f>
        <v>0.34689999999999999</v>
      </c>
      <c r="F21">
        <f t="shared" si="18"/>
        <v>0.34689999999999999</v>
      </c>
      <c r="G21">
        <f t="shared" si="18"/>
        <v>0.22956666666666667</v>
      </c>
      <c r="H21">
        <f t="shared" si="18"/>
        <v>0.22956666666666667</v>
      </c>
      <c r="I21">
        <f t="shared" si="18"/>
        <v>0.22956666666666667</v>
      </c>
      <c r="J21">
        <f t="shared" si="18"/>
        <v>0.22956666666666667</v>
      </c>
      <c r="K21">
        <f t="shared" si="18"/>
        <v>0.22956666666666667</v>
      </c>
      <c r="L21">
        <f t="shared" si="18"/>
        <v>0.22956666666666667</v>
      </c>
      <c r="M21">
        <f t="shared" si="18"/>
        <v>0.1709</v>
      </c>
      <c r="N21">
        <f t="shared" si="18"/>
        <v>0.11223333333333332</v>
      </c>
    </row>
    <row r="22" spans="1:33" x14ac:dyDescent="0.25">
      <c r="A22">
        <f t="shared" si="3"/>
        <v>0.85550458715596334</v>
      </c>
      <c r="B22" s="3">
        <v>373</v>
      </c>
      <c r="C22" s="3">
        <v>436</v>
      </c>
      <c r="E22">
        <f t="shared" ref="E22:N22" si="19">($R$1-((E94-1)*$L$1))/(E94)-$U$1</f>
        <v>0.22956666666666667</v>
      </c>
      <c r="F22">
        <f t="shared" si="19"/>
        <v>0.22956666666666667</v>
      </c>
      <c r="G22">
        <f t="shared" si="19"/>
        <v>0.1709</v>
      </c>
      <c r="H22">
        <f t="shared" si="19"/>
        <v>0.1709</v>
      </c>
      <c r="I22">
        <f t="shared" si="19"/>
        <v>0.1709</v>
      </c>
      <c r="J22">
        <f t="shared" si="19"/>
        <v>0.1709</v>
      </c>
      <c r="K22">
        <f t="shared" si="19"/>
        <v>0.1709</v>
      </c>
      <c r="L22">
        <f t="shared" si="19"/>
        <v>0.1709</v>
      </c>
      <c r="M22">
        <f t="shared" si="19"/>
        <v>0.13569999999999999</v>
      </c>
      <c r="N22">
        <f t="shared" si="19"/>
        <v>9.5471428571428554E-2</v>
      </c>
    </row>
    <row r="23" spans="1:33" x14ac:dyDescent="0.25">
      <c r="A23">
        <f t="shared" si="3"/>
        <v>0.52222222222222225</v>
      </c>
      <c r="B23" s="3">
        <v>752</v>
      </c>
      <c r="C23" s="3">
        <v>1440</v>
      </c>
      <c r="E23">
        <f t="shared" ref="E23:N23" si="20">($R$1-((E95-1)*$L$1))/(E95)-$U$1</f>
        <v>0.1709</v>
      </c>
      <c r="F23">
        <f t="shared" si="20"/>
        <v>0.1709</v>
      </c>
      <c r="G23">
        <f t="shared" si="20"/>
        <v>0.13569999999999999</v>
      </c>
      <c r="H23">
        <f t="shared" si="20"/>
        <v>0.13569999999999999</v>
      </c>
      <c r="I23">
        <f t="shared" si="20"/>
        <v>0.13569999999999999</v>
      </c>
      <c r="J23">
        <f t="shared" si="20"/>
        <v>0.13569999999999999</v>
      </c>
      <c r="K23">
        <f t="shared" si="20"/>
        <v>0.13569999999999999</v>
      </c>
      <c r="L23">
        <f t="shared" si="20"/>
        <v>0.13569999999999999</v>
      </c>
      <c r="M23">
        <f t="shared" si="20"/>
        <v>0.11223333333333332</v>
      </c>
      <c r="N23">
        <f t="shared" si="20"/>
        <v>8.2899999999999988E-2</v>
      </c>
    </row>
    <row r="26" spans="1:33" x14ac:dyDescent="0.25">
      <c r="E26" s="1" t="s">
        <v>4</v>
      </c>
    </row>
    <row r="27" spans="1:33" x14ac:dyDescent="0.25">
      <c r="E27" s="3">
        <v>1</v>
      </c>
      <c r="F27" s="3">
        <v>8</v>
      </c>
      <c r="G27" s="3">
        <v>5</v>
      </c>
      <c r="H27" s="3">
        <v>4</v>
      </c>
      <c r="I27" s="3">
        <v>3</v>
      </c>
      <c r="J27" s="3">
        <v>16</v>
      </c>
      <c r="K27" s="3">
        <v>16</v>
      </c>
      <c r="L27" s="3">
        <v>19.5</v>
      </c>
      <c r="M27" s="3">
        <v>21</v>
      </c>
      <c r="N27" s="3">
        <v>32</v>
      </c>
      <c r="O27" s="3"/>
      <c r="R27" s="3"/>
      <c r="S27" s="3"/>
      <c r="T27" s="3"/>
      <c r="U27" s="3"/>
      <c r="V27" s="3"/>
      <c r="W27" s="3"/>
      <c r="X27" s="3"/>
      <c r="Y27" s="3"/>
    </row>
    <row r="28" spans="1:33" x14ac:dyDescent="0.25">
      <c r="E28" s="3">
        <v>1</v>
      </c>
      <c r="F28" s="3">
        <v>7</v>
      </c>
      <c r="G28" s="3">
        <v>4</v>
      </c>
      <c r="H28" s="3">
        <v>3</v>
      </c>
      <c r="I28" s="3">
        <v>2</v>
      </c>
      <c r="J28" s="3">
        <v>10</v>
      </c>
      <c r="K28" s="3">
        <v>9</v>
      </c>
      <c r="L28" s="3">
        <v>9</v>
      </c>
      <c r="M28" s="3">
        <v>9</v>
      </c>
      <c r="N28" s="3">
        <v>9</v>
      </c>
      <c r="O28" s="3"/>
      <c r="R28" s="3"/>
      <c r="S28" s="3"/>
      <c r="T28" s="3"/>
      <c r="U28" s="3"/>
      <c r="V28" s="3"/>
      <c r="W28" s="3"/>
      <c r="X28" s="3"/>
      <c r="Y28" s="3"/>
    </row>
    <row r="29" spans="1:33" x14ac:dyDescent="0.25">
      <c r="D29" s="3" t="s">
        <v>0</v>
      </c>
      <c r="E29" s="3">
        <v>720</v>
      </c>
      <c r="F29">
        <v>1240</v>
      </c>
      <c r="G29" s="3">
        <v>900</v>
      </c>
      <c r="H29" s="3">
        <v>960</v>
      </c>
      <c r="I29" s="3">
        <v>1080</v>
      </c>
      <c r="J29" s="3">
        <v>1152</v>
      </c>
      <c r="K29" s="3">
        <v>1280</v>
      </c>
      <c r="L29" s="3">
        <v>1560</v>
      </c>
      <c r="M29" s="3">
        <v>1680</v>
      </c>
      <c r="N29">
        <v>2560</v>
      </c>
    </row>
    <row r="30" spans="1:33" x14ac:dyDescent="0.25">
      <c r="B30" s="2" t="s">
        <v>0</v>
      </c>
      <c r="C30" s="2" t="s">
        <v>1</v>
      </c>
      <c r="D30" s="3" t="s">
        <v>1</v>
      </c>
      <c r="E30" s="3">
        <v>720</v>
      </c>
      <c r="F30" s="3">
        <v>1080</v>
      </c>
      <c r="G30" s="3">
        <v>720</v>
      </c>
      <c r="H30" s="3">
        <v>720</v>
      </c>
      <c r="I30" s="3">
        <v>720</v>
      </c>
      <c r="J30" s="3">
        <v>720</v>
      </c>
      <c r="K30" s="3">
        <v>720</v>
      </c>
      <c r="L30" s="3">
        <v>720</v>
      </c>
      <c r="M30" s="3">
        <v>720</v>
      </c>
      <c r="N30" s="3">
        <v>720</v>
      </c>
      <c r="O30" s="3"/>
    </row>
    <row r="31" spans="1:33" x14ac:dyDescent="0.25">
      <c r="A31">
        <f>B31/C31</f>
        <v>1</v>
      </c>
      <c r="B31" s="3">
        <v>1</v>
      </c>
      <c r="C31" s="3">
        <v>1</v>
      </c>
      <c r="E31">
        <f t="shared" ref="E31:J31" si="21">(E7*E$29*($C31/$B31))/E$30</f>
        <v>0.22956666666666667</v>
      </c>
      <c r="F31">
        <f t="shared" ref="F31:F47" si="22">(F7*F$29*($C31/$B31))/F$30</f>
        <v>0.26357654320987656</v>
      </c>
      <c r="G31">
        <f t="shared" si="21"/>
        <v>0.21362500000000001</v>
      </c>
      <c r="H31">
        <f t="shared" si="21"/>
        <v>0.22786666666666666</v>
      </c>
      <c r="I31">
        <f t="shared" si="21"/>
        <v>0.25635000000000002</v>
      </c>
      <c r="J31">
        <f t="shared" si="21"/>
        <v>0.27344000000000002</v>
      </c>
      <c r="K31">
        <f>(K7*K$29*($C31/$B31))/K$30</f>
        <v>0.30382222222222222</v>
      </c>
      <c r="L31">
        <f t="shared" ref="L31:N31" si="23">(L7*L$29*($C31/$B31))/L$30</f>
        <v>0.3702833333333333</v>
      </c>
      <c r="M31">
        <f t="shared" si="23"/>
        <v>0.31663333333333327</v>
      </c>
      <c r="N31">
        <f t="shared" si="23"/>
        <v>0.33945396825396817</v>
      </c>
    </row>
    <row r="32" spans="1:33" x14ac:dyDescent="0.25">
      <c r="A32">
        <f t="shared" ref="A32:A47" si="24">B32/C32</f>
        <v>0.5</v>
      </c>
      <c r="B32" s="3">
        <v>1</v>
      </c>
      <c r="C32" s="3">
        <v>2</v>
      </c>
      <c r="E32">
        <f t="shared" ref="E32:N32" si="25">(E8*E$29*($C32/$B32))/E$30</f>
        <v>0.34179999999999999</v>
      </c>
      <c r="F32">
        <f t="shared" si="22"/>
        <v>0.39243703703703703</v>
      </c>
      <c r="G32">
        <f t="shared" si="25"/>
        <v>0.33925</v>
      </c>
      <c r="H32">
        <f t="shared" si="25"/>
        <v>0.36186666666666667</v>
      </c>
      <c r="I32">
        <f t="shared" si="25"/>
        <v>0.40709999999999996</v>
      </c>
      <c r="J32">
        <f t="shared" si="25"/>
        <v>0.43423999999999996</v>
      </c>
      <c r="K32">
        <f t="shared" si="25"/>
        <v>0.4824888888888888</v>
      </c>
      <c r="L32">
        <f t="shared" si="25"/>
        <v>0.5880333333333333</v>
      </c>
      <c r="M32">
        <f t="shared" si="25"/>
        <v>0.52375555555555553</v>
      </c>
      <c r="N32">
        <f t="shared" si="25"/>
        <v>0.58951111111111099</v>
      </c>
    </row>
    <row r="33" spans="1:14" x14ac:dyDescent="0.25">
      <c r="A33">
        <f t="shared" si="24"/>
        <v>0.66666666666666663</v>
      </c>
      <c r="B33" s="3">
        <v>2</v>
      </c>
      <c r="C33" s="3">
        <v>3</v>
      </c>
      <c r="E33">
        <f t="shared" ref="E33:N33" si="26">(E9*E$29*($C33/$B33))/E$30</f>
        <v>0.34435000000000004</v>
      </c>
      <c r="F33">
        <f t="shared" si="22"/>
        <v>0.39536481481481484</v>
      </c>
      <c r="G33">
        <f t="shared" si="26"/>
        <v>0.32043749999999999</v>
      </c>
      <c r="H33">
        <f t="shared" si="26"/>
        <v>0.34179999999999999</v>
      </c>
      <c r="I33">
        <f t="shared" si="26"/>
        <v>0.38452500000000001</v>
      </c>
      <c r="J33">
        <f t="shared" si="26"/>
        <v>0.41016000000000002</v>
      </c>
      <c r="K33">
        <f t="shared" si="26"/>
        <v>0.45573333333333338</v>
      </c>
      <c r="L33">
        <f t="shared" si="26"/>
        <v>0.55542499999999995</v>
      </c>
      <c r="M33">
        <f t="shared" si="26"/>
        <v>0.47494999999999993</v>
      </c>
      <c r="N33">
        <f t="shared" si="26"/>
        <v>0.50918095238095229</v>
      </c>
    </row>
    <row r="34" spans="1:14" x14ac:dyDescent="0.25">
      <c r="A34">
        <f t="shared" si="24"/>
        <v>0.75</v>
      </c>
      <c r="B34" s="3">
        <v>3</v>
      </c>
      <c r="C34" s="3">
        <v>4</v>
      </c>
      <c r="E34">
        <f t="shared" ref="E34:N34" si="27">(E10*E$29*($C34/$B34))/E$30</f>
        <v>0.30608888888888891</v>
      </c>
      <c r="F34">
        <f t="shared" si="22"/>
        <v>0.35143539094650206</v>
      </c>
      <c r="G34">
        <f t="shared" si="27"/>
        <v>0.28483333333333333</v>
      </c>
      <c r="H34">
        <f t="shared" si="27"/>
        <v>0.30382222222222222</v>
      </c>
      <c r="I34">
        <f t="shared" si="27"/>
        <v>0.34179999999999999</v>
      </c>
      <c r="J34">
        <f t="shared" si="27"/>
        <v>0.36458666666666661</v>
      </c>
      <c r="K34">
        <f t="shared" si="27"/>
        <v>0.40509629629629629</v>
      </c>
      <c r="L34">
        <f t="shared" si="27"/>
        <v>0.4937111111111111</v>
      </c>
      <c r="M34">
        <f t="shared" si="27"/>
        <v>0.42217777777777771</v>
      </c>
      <c r="N34">
        <f t="shared" si="27"/>
        <v>0.4526052910052909</v>
      </c>
    </row>
    <row r="35" spans="1:14" x14ac:dyDescent="0.25">
      <c r="A35">
        <f t="shared" si="24"/>
        <v>0.6</v>
      </c>
      <c r="B35" s="3">
        <v>3</v>
      </c>
      <c r="C35" s="3">
        <v>5</v>
      </c>
      <c r="E35">
        <f t="shared" ref="E35:N35" si="28">(E11*E$29*($C35/$B35))/E$30</f>
        <v>0.28483333333333333</v>
      </c>
      <c r="F35">
        <f t="shared" si="22"/>
        <v>0.32703086419753086</v>
      </c>
      <c r="G35">
        <f t="shared" si="28"/>
        <v>0.28270833333333334</v>
      </c>
      <c r="H35">
        <f t="shared" si="28"/>
        <v>0.30155555555555558</v>
      </c>
      <c r="I35">
        <f t="shared" si="28"/>
        <v>0.33925</v>
      </c>
      <c r="J35">
        <f t="shared" si="28"/>
        <v>0.36186666666666667</v>
      </c>
      <c r="K35">
        <f t="shared" si="28"/>
        <v>0.40207407407407403</v>
      </c>
      <c r="L35">
        <f t="shared" si="28"/>
        <v>0.49002777777777778</v>
      </c>
      <c r="M35">
        <f t="shared" si="28"/>
        <v>0.43646296296296294</v>
      </c>
      <c r="N35">
        <f t="shared" si="28"/>
        <v>0.49125925925925917</v>
      </c>
    </row>
    <row r="36" spans="1:14" x14ac:dyDescent="0.25">
      <c r="A36">
        <f t="shared" si="24"/>
        <v>1.3333333333333333</v>
      </c>
      <c r="B36" s="3">
        <v>4</v>
      </c>
      <c r="C36" s="3">
        <v>3</v>
      </c>
      <c r="E36">
        <f t="shared" ref="E36:N36" si="29">(E12*E$29*($C36/$B36))/E$30</f>
        <v>0.26017499999999999</v>
      </c>
      <c r="F36">
        <f t="shared" si="22"/>
        <v>0.29871944444444448</v>
      </c>
      <c r="G36">
        <f t="shared" si="29"/>
        <v>0.21521875000000001</v>
      </c>
      <c r="H36">
        <f t="shared" si="29"/>
        <v>0.22956666666666667</v>
      </c>
      <c r="I36">
        <f t="shared" si="29"/>
        <v>0.25826250000000001</v>
      </c>
      <c r="J36">
        <f t="shared" si="29"/>
        <v>0.27548</v>
      </c>
      <c r="K36">
        <f t="shared" si="29"/>
        <v>0.30608888888888885</v>
      </c>
      <c r="L36">
        <f t="shared" si="29"/>
        <v>0.37304583333333335</v>
      </c>
      <c r="M36">
        <f t="shared" si="29"/>
        <v>0.29907499999999998</v>
      </c>
      <c r="N36">
        <f t="shared" si="29"/>
        <v>0.29928888888888883</v>
      </c>
    </row>
    <row r="37" spans="1:14" x14ac:dyDescent="0.25">
      <c r="A37">
        <f t="shared" si="24"/>
        <v>0.7142857142857143</v>
      </c>
      <c r="B37" s="3">
        <v>5</v>
      </c>
      <c r="C37" s="3">
        <v>7</v>
      </c>
      <c r="E37">
        <f t="shared" ref="E37:N37" si="30">(E13*E$29*($C37/$B37))/E$30</f>
        <v>0.32139333333333331</v>
      </c>
      <c r="F37">
        <f t="shared" si="22"/>
        <v>0.36900716049382709</v>
      </c>
      <c r="G37">
        <f t="shared" si="30"/>
        <v>0.29907499999999998</v>
      </c>
      <c r="H37">
        <f t="shared" si="30"/>
        <v>0.31901333333333332</v>
      </c>
      <c r="I37">
        <f t="shared" si="30"/>
        <v>0.35888999999999999</v>
      </c>
      <c r="J37">
        <f t="shared" si="30"/>
        <v>0.38281599999999999</v>
      </c>
      <c r="K37">
        <f t="shared" si="30"/>
        <v>0.42535111111111107</v>
      </c>
      <c r="L37">
        <f t="shared" si="30"/>
        <v>0.51839666666666662</v>
      </c>
      <c r="M37">
        <f t="shared" si="30"/>
        <v>0.44328666666666661</v>
      </c>
      <c r="N37">
        <f t="shared" si="30"/>
        <v>0.47523555555555541</v>
      </c>
    </row>
    <row r="38" spans="1:14" x14ac:dyDescent="0.25">
      <c r="A38">
        <f t="shared" si="24"/>
        <v>0.5892857142857143</v>
      </c>
      <c r="B38" s="3">
        <v>99</v>
      </c>
      <c r="C38" s="3">
        <v>168</v>
      </c>
      <c r="E38">
        <f t="shared" ref="E38:N38" si="31">(E14*E$29*($C38/$B38))/E$30</f>
        <v>0.29001212121212122</v>
      </c>
      <c r="F38">
        <f t="shared" si="22"/>
        <v>0.33297687991021324</v>
      </c>
      <c r="G38">
        <f t="shared" si="31"/>
        <v>0.28784848484848485</v>
      </c>
      <c r="H38">
        <f t="shared" si="31"/>
        <v>0.30703838383838383</v>
      </c>
      <c r="I38">
        <f t="shared" si="31"/>
        <v>0.34541818181818179</v>
      </c>
      <c r="J38">
        <f t="shared" si="31"/>
        <v>0.36844606060606055</v>
      </c>
      <c r="K38">
        <f t="shared" si="31"/>
        <v>0.40938451178451174</v>
      </c>
      <c r="L38">
        <f t="shared" si="31"/>
        <v>0.49893737373737373</v>
      </c>
      <c r="M38">
        <f t="shared" si="31"/>
        <v>0.44439865319865318</v>
      </c>
      <c r="N38">
        <f t="shared" si="31"/>
        <v>0.50019124579124563</v>
      </c>
    </row>
    <row r="39" spans="1:14" x14ac:dyDescent="0.25">
      <c r="A39">
        <f t="shared" si="24"/>
        <v>0.61764705882352944</v>
      </c>
      <c r="B39" s="3">
        <v>105</v>
      </c>
      <c r="C39" s="3">
        <v>170</v>
      </c>
      <c r="E39">
        <f t="shared" ref="E39:N39" si="32">(E15*E$29*($C39/$B39))/E$30</f>
        <v>0.27669523809523811</v>
      </c>
      <c r="F39">
        <f t="shared" si="22"/>
        <v>0.31768712522045855</v>
      </c>
      <c r="G39">
        <f t="shared" si="32"/>
        <v>0.27463095238095236</v>
      </c>
      <c r="H39">
        <f t="shared" si="32"/>
        <v>0.2929396825396825</v>
      </c>
      <c r="I39">
        <f t="shared" si="32"/>
        <v>0.32955714285714283</v>
      </c>
      <c r="J39">
        <f t="shared" si="32"/>
        <v>0.35152761904761898</v>
      </c>
      <c r="K39">
        <f t="shared" si="32"/>
        <v>0.39058624338624326</v>
      </c>
      <c r="L39">
        <f t="shared" si="32"/>
        <v>0.47602698412698413</v>
      </c>
      <c r="M39">
        <f t="shared" si="32"/>
        <v>0.42399259259259253</v>
      </c>
      <c r="N39">
        <f t="shared" si="32"/>
        <v>0.47722328042328033</v>
      </c>
    </row>
    <row r="40" spans="1:14" x14ac:dyDescent="0.25">
      <c r="A40">
        <f t="shared" si="24"/>
        <v>1.6716417910447761</v>
      </c>
      <c r="B40" s="3">
        <v>112</v>
      </c>
      <c r="C40" s="3">
        <v>67</v>
      </c>
      <c r="E40">
        <f t="shared" ref="E40:N40" si="33">(E16*E$29*($C40/$B40))/E$30</f>
        <v>0.20752053571428569</v>
      </c>
      <c r="F40">
        <f t="shared" si="22"/>
        <v>0.23826431878306881</v>
      </c>
      <c r="G40">
        <f t="shared" si="33"/>
        <v>0.1716625744047619</v>
      </c>
      <c r="H40">
        <f t="shared" si="33"/>
        <v>0.18310674603174604</v>
      </c>
      <c r="I40">
        <f t="shared" si="33"/>
        <v>0.20599508928571428</v>
      </c>
      <c r="J40">
        <f t="shared" si="33"/>
        <v>0.21972809523809522</v>
      </c>
      <c r="K40">
        <f t="shared" si="33"/>
        <v>0.24414232804232805</v>
      </c>
      <c r="L40">
        <f t="shared" si="33"/>
        <v>0.29754846230158727</v>
      </c>
      <c r="M40">
        <f t="shared" si="33"/>
        <v>0.23854791666666664</v>
      </c>
      <c r="N40">
        <f t="shared" si="33"/>
        <v>0.23871851851851847</v>
      </c>
    </row>
    <row r="41" spans="1:14" x14ac:dyDescent="0.25">
      <c r="A41">
        <f t="shared" si="24"/>
        <v>0.78488372093023251</v>
      </c>
      <c r="B41" s="3">
        <v>135</v>
      </c>
      <c r="C41" s="3">
        <v>172</v>
      </c>
      <c r="E41">
        <f t="shared" ref="E41:N41" si="34">(E17*E$29*($C41/$B41))/E$30</f>
        <v>0.29248493827160499</v>
      </c>
      <c r="F41">
        <f t="shared" si="22"/>
        <v>0.33581604023776868</v>
      </c>
      <c r="G41">
        <f t="shared" si="34"/>
        <v>0.27217407407407407</v>
      </c>
      <c r="H41">
        <f t="shared" si="34"/>
        <v>0.29031901234567903</v>
      </c>
      <c r="I41">
        <f t="shared" si="34"/>
        <v>0.32660888888888895</v>
      </c>
      <c r="J41">
        <f t="shared" si="34"/>
        <v>0.34838281481481481</v>
      </c>
      <c r="K41">
        <f t="shared" si="34"/>
        <v>0.38709201646090541</v>
      </c>
      <c r="L41">
        <f t="shared" si="34"/>
        <v>0.47176839506172841</v>
      </c>
      <c r="M41">
        <f t="shared" si="34"/>
        <v>0.40341432098765428</v>
      </c>
      <c r="N41">
        <f t="shared" si="34"/>
        <v>0.43248950029394467</v>
      </c>
    </row>
    <row r="42" spans="1:14" x14ac:dyDescent="0.25">
      <c r="A42">
        <f t="shared" si="24"/>
        <v>0.6908212560386473</v>
      </c>
      <c r="B42" s="3">
        <v>143</v>
      </c>
      <c r="C42" s="3">
        <v>207</v>
      </c>
      <c r="E42">
        <f t="shared" ref="E42:N42" si="35">(E18*E$29*($C42/$B42))/E$30</f>
        <v>0.33230979020979018</v>
      </c>
      <c r="F42">
        <f t="shared" si="22"/>
        <v>0.38154087024087024</v>
      </c>
      <c r="G42">
        <f t="shared" si="35"/>
        <v>0.30923339160839158</v>
      </c>
      <c r="H42">
        <f t="shared" si="35"/>
        <v>0.32984895104895101</v>
      </c>
      <c r="I42">
        <f t="shared" si="35"/>
        <v>0.37108006993006987</v>
      </c>
      <c r="J42">
        <f t="shared" si="35"/>
        <v>0.39581874125874122</v>
      </c>
      <c r="K42">
        <f t="shared" si="35"/>
        <v>0.43979860139860139</v>
      </c>
      <c r="L42">
        <f t="shared" si="35"/>
        <v>0.53600454545454546</v>
      </c>
      <c r="M42">
        <f t="shared" si="35"/>
        <v>0.45834335664335657</v>
      </c>
      <c r="N42">
        <f t="shared" si="35"/>
        <v>0.49137742257742245</v>
      </c>
    </row>
    <row r="43" spans="1:14" x14ac:dyDescent="0.25">
      <c r="A43">
        <f t="shared" si="24"/>
        <v>0.70731707317073167</v>
      </c>
      <c r="B43" s="3">
        <v>145</v>
      </c>
      <c r="C43" s="3">
        <v>205</v>
      </c>
      <c r="E43">
        <f t="shared" ref="E43:N43" si="36">(E19*E$29*($C43/$B43))/E$30</f>
        <v>0.32455977011494253</v>
      </c>
      <c r="F43">
        <f t="shared" si="22"/>
        <v>0.37264269902085989</v>
      </c>
      <c r="G43">
        <f t="shared" si="36"/>
        <v>0.30202155172413792</v>
      </c>
      <c r="H43">
        <f t="shared" si="36"/>
        <v>0.32215632183908044</v>
      </c>
      <c r="I43">
        <f t="shared" si="36"/>
        <v>0.36242586206896549</v>
      </c>
      <c r="J43">
        <f t="shared" si="36"/>
        <v>0.38658758620689659</v>
      </c>
      <c r="K43">
        <f t="shared" si="36"/>
        <v>0.42954176245210723</v>
      </c>
      <c r="L43">
        <f t="shared" si="36"/>
        <v>0.52350402298850562</v>
      </c>
      <c r="M43">
        <f t="shared" si="36"/>
        <v>0.44765402298850565</v>
      </c>
      <c r="N43">
        <f t="shared" si="36"/>
        <v>0.47991767925561019</v>
      </c>
    </row>
    <row r="44" spans="1:14" x14ac:dyDescent="0.25">
      <c r="A44">
        <f t="shared" si="24"/>
        <v>0.71470588235294119</v>
      </c>
      <c r="B44" s="3">
        <v>243</v>
      </c>
      <c r="C44" s="3">
        <v>340</v>
      </c>
      <c r="E44">
        <f t="shared" ref="E44:N44" si="37">(E20*E$29*($C44/$B44))/E$30</f>
        <v>0.32120438957476</v>
      </c>
      <c r="F44">
        <f t="shared" si="22"/>
        <v>0.36879022506731701</v>
      </c>
      <c r="G44">
        <f t="shared" si="37"/>
        <v>0.29889917695473256</v>
      </c>
      <c r="H44">
        <f t="shared" si="37"/>
        <v>0.31882578875171469</v>
      </c>
      <c r="I44">
        <f t="shared" si="37"/>
        <v>0.35867901234567906</v>
      </c>
      <c r="J44">
        <f t="shared" si="37"/>
        <v>0.38259094650205766</v>
      </c>
      <c r="K44">
        <f t="shared" si="37"/>
        <v>0.42510105166895296</v>
      </c>
      <c r="L44">
        <f t="shared" si="37"/>
        <v>0.51809190672153638</v>
      </c>
      <c r="M44">
        <f t="shared" si="37"/>
        <v>0.44302606310013715</v>
      </c>
      <c r="N44">
        <f t="shared" si="37"/>
        <v>0.47495616957345349</v>
      </c>
    </row>
    <row r="45" spans="1:14" x14ac:dyDescent="0.25">
      <c r="A45">
        <f t="shared" si="24"/>
        <v>1.1222707423580787</v>
      </c>
      <c r="B45" s="3">
        <v>257</v>
      </c>
      <c r="C45" s="3">
        <v>229</v>
      </c>
      <c r="E45">
        <f t="shared" ref="E45:N45" si="38">(E21*E$29*($C45/$B45))/E$30</f>
        <v>0.30910544747081714</v>
      </c>
      <c r="F45">
        <f t="shared" si="22"/>
        <v>0.3548988470961234</v>
      </c>
      <c r="G45">
        <f t="shared" si="38"/>
        <v>0.25569439040207526</v>
      </c>
      <c r="H45">
        <f t="shared" si="38"/>
        <v>0.27274068309554694</v>
      </c>
      <c r="I45">
        <f t="shared" si="38"/>
        <v>0.30683326848249032</v>
      </c>
      <c r="J45">
        <f t="shared" si="38"/>
        <v>0.32728881971465634</v>
      </c>
      <c r="K45">
        <f t="shared" si="38"/>
        <v>0.36365424412739583</v>
      </c>
      <c r="L45">
        <f t="shared" si="38"/>
        <v>0.44320361003026376</v>
      </c>
      <c r="M45">
        <f t="shared" si="38"/>
        <v>0.355321271076524</v>
      </c>
      <c r="N45">
        <f t="shared" si="38"/>
        <v>0.35557538550223378</v>
      </c>
    </row>
    <row r="46" spans="1:14" x14ac:dyDescent="0.25">
      <c r="A46">
        <f t="shared" si="24"/>
        <v>0.85550458715596334</v>
      </c>
      <c r="B46" s="3">
        <v>373</v>
      </c>
      <c r="C46" s="3">
        <v>436</v>
      </c>
      <c r="E46">
        <f t="shared" ref="E46:N46" si="39">(E22*E$29*($C46/$B46))/E$30</f>
        <v>0.26834066130473638</v>
      </c>
      <c r="F46">
        <f t="shared" si="22"/>
        <v>0.30809483334988247</v>
      </c>
      <c r="G46">
        <f t="shared" si="39"/>
        <v>0.24970643431635386</v>
      </c>
      <c r="H46">
        <f t="shared" si="39"/>
        <v>0.2663535299374441</v>
      </c>
      <c r="I46">
        <f t="shared" si="39"/>
        <v>0.29964772117962463</v>
      </c>
      <c r="J46">
        <f t="shared" si="39"/>
        <v>0.31962423592493294</v>
      </c>
      <c r="K46">
        <f t="shared" si="39"/>
        <v>0.35513803991659215</v>
      </c>
      <c r="L46">
        <f t="shared" si="39"/>
        <v>0.43282448614834668</v>
      </c>
      <c r="M46">
        <f t="shared" si="39"/>
        <v>0.37011295799821259</v>
      </c>
      <c r="N46">
        <f t="shared" si="39"/>
        <v>0.39678801651134082</v>
      </c>
    </row>
    <row r="47" spans="1:14" x14ac:dyDescent="0.25">
      <c r="A47">
        <f t="shared" si="24"/>
        <v>0.52222222222222225</v>
      </c>
      <c r="B47" s="3">
        <v>752</v>
      </c>
      <c r="C47" s="3">
        <v>1440</v>
      </c>
      <c r="E47">
        <f t="shared" ref="E47:N47" si="40">(E23*E$29*($C47/$B47))/E$30</f>
        <v>0.32725531914893619</v>
      </c>
      <c r="F47">
        <f t="shared" si="22"/>
        <v>0.3757375886524823</v>
      </c>
      <c r="G47">
        <f t="shared" si="40"/>
        <v>0.32481382978723405</v>
      </c>
      <c r="H47">
        <f t="shared" si="40"/>
        <v>0.34646808510638299</v>
      </c>
      <c r="I47">
        <f t="shared" si="40"/>
        <v>0.38977659574468088</v>
      </c>
      <c r="J47">
        <f t="shared" si="40"/>
        <v>0.41576170212765956</v>
      </c>
      <c r="K47">
        <f t="shared" si="40"/>
        <v>0.46195744680851059</v>
      </c>
      <c r="L47">
        <f t="shared" si="40"/>
        <v>0.56301063829787235</v>
      </c>
      <c r="M47">
        <f t="shared" si="40"/>
        <v>0.50146808510638308</v>
      </c>
      <c r="N47">
        <f t="shared" si="40"/>
        <v>0.56442553191489353</v>
      </c>
    </row>
    <row r="50" spans="1:15" x14ac:dyDescent="0.25">
      <c r="E50" s="1" t="s">
        <v>5</v>
      </c>
    </row>
    <row r="51" spans="1:15" x14ac:dyDescent="0.25">
      <c r="E51" s="3">
        <v>1</v>
      </c>
      <c r="F51" s="3">
        <v>8</v>
      </c>
      <c r="G51" s="3">
        <v>5</v>
      </c>
      <c r="H51" s="3">
        <v>4</v>
      </c>
      <c r="I51" s="3">
        <v>3</v>
      </c>
      <c r="J51" s="3">
        <v>16</v>
      </c>
      <c r="K51" s="3">
        <v>16</v>
      </c>
      <c r="L51" s="3">
        <v>19.5</v>
      </c>
      <c r="M51" s="3">
        <v>21</v>
      </c>
      <c r="N51" s="3">
        <v>32</v>
      </c>
      <c r="O51" s="3"/>
    </row>
    <row r="52" spans="1:15" x14ac:dyDescent="0.25">
      <c r="E52" s="3">
        <v>1</v>
      </c>
      <c r="F52" s="3">
        <v>7</v>
      </c>
      <c r="G52" s="3">
        <v>4</v>
      </c>
      <c r="H52" s="3">
        <v>3</v>
      </c>
      <c r="I52" s="3">
        <v>2</v>
      </c>
      <c r="J52" s="3">
        <v>10</v>
      </c>
      <c r="K52" s="3">
        <v>9</v>
      </c>
      <c r="L52" s="3">
        <v>9</v>
      </c>
      <c r="M52" s="3">
        <v>9</v>
      </c>
      <c r="N52" s="3">
        <v>9</v>
      </c>
      <c r="O52" s="3"/>
    </row>
    <row r="53" spans="1:15" x14ac:dyDescent="0.25">
      <c r="D53" s="3" t="s">
        <v>0</v>
      </c>
      <c r="E53" s="3">
        <v>720</v>
      </c>
      <c r="F53">
        <v>1240</v>
      </c>
      <c r="G53" s="3">
        <v>900</v>
      </c>
      <c r="H53" s="3">
        <v>960</v>
      </c>
      <c r="I53" s="3">
        <v>1080</v>
      </c>
      <c r="J53" s="3">
        <v>1152</v>
      </c>
      <c r="K53" s="3">
        <v>1280</v>
      </c>
      <c r="L53" s="3">
        <v>1560</v>
      </c>
      <c r="M53" s="3">
        <v>1680</v>
      </c>
      <c r="N53">
        <v>2560</v>
      </c>
    </row>
    <row r="54" spans="1:15" x14ac:dyDescent="0.25">
      <c r="B54" s="2" t="s">
        <v>0</v>
      </c>
      <c r="C54" s="2" t="s">
        <v>1</v>
      </c>
      <c r="D54" s="3" t="s">
        <v>1</v>
      </c>
      <c r="E54" s="3">
        <v>720</v>
      </c>
      <c r="F54" s="3">
        <v>1080</v>
      </c>
      <c r="G54" s="3">
        <v>720</v>
      </c>
      <c r="H54" s="3">
        <v>720</v>
      </c>
      <c r="I54" s="3">
        <v>720</v>
      </c>
      <c r="J54" s="3">
        <v>720</v>
      </c>
      <c r="K54" s="3">
        <v>720</v>
      </c>
      <c r="L54" s="3">
        <v>720</v>
      </c>
      <c r="M54" s="3">
        <v>720</v>
      </c>
      <c r="N54" s="3">
        <v>720</v>
      </c>
      <c r="O54" s="3"/>
    </row>
    <row r="55" spans="1:15" x14ac:dyDescent="0.25">
      <c r="A55">
        <f>B55/C55</f>
        <v>1</v>
      </c>
      <c r="B55" s="3">
        <v>1</v>
      </c>
      <c r="C55" s="3">
        <v>1</v>
      </c>
      <c r="E55">
        <f t="shared" ref="E55:K64" si="41">($L$1*E$53)/E$54</f>
        <v>5.0000000000000001E-3</v>
      </c>
      <c r="F55">
        <f t="shared" si="41"/>
        <v>5.7407407407407407E-3</v>
      </c>
      <c r="G55">
        <f t="shared" si="41"/>
        <v>6.2500000000000003E-3</v>
      </c>
      <c r="H55">
        <f t="shared" si="41"/>
        <v>6.6666666666666662E-3</v>
      </c>
      <c r="I55">
        <f t="shared" si="41"/>
        <v>7.5000000000000006E-3</v>
      </c>
      <c r="J55">
        <f t="shared" si="41"/>
        <v>8.0000000000000002E-3</v>
      </c>
      <c r="K55">
        <f t="shared" si="41"/>
        <v>8.8888888888888889E-3</v>
      </c>
      <c r="L55">
        <f t="shared" ref="L55:N70" si="42">($L$1*L$53)/L$54</f>
        <v>1.0833333333333334E-2</v>
      </c>
      <c r="M55">
        <f t="shared" si="42"/>
        <v>1.1666666666666667E-2</v>
      </c>
      <c r="N55">
        <f t="shared" si="42"/>
        <v>1.7777777777777778E-2</v>
      </c>
    </row>
    <row r="56" spans="1:15" x14ac:dyDescent="0.25">
      <c r="A56">
        <f t="shared" ref="A56:A71" si="43">B56/C56</f>
        <v>0.5</v>
      </c>
      <c r="B56" s="3">
        <v>1</v>
      </c>
      <c r="C56" s="3">
        <v>2</v>
      </c>
      <c r="E56">
        <f t="shared" si="41"/>
        <v>5.0000000000000001E-3</v>
      </c>
      <c r="F56">
        <f t="shared" si="41"/>
        <v>5.7407407407407407E-3</v>
      </c>
      <c r="G56">
        <f t="shared" si="41"/>
        <v>6.2500000000000003E-3</v>
      </c>
      <c r="H56">
        <f t="shared" si="41"/>
        <v>6.6666666666666662E-3</v>
      </c>
      <c r="I56">
        <f t="shared" si="41"/>
        <v>7.5000000000000006E-3</v>
      </c>
      <c r="J56">
        <f t="shared" si="41"/>
        <v>8.0000000000000002E-3</v>
      </c>
      <c r="K56">
        <f t="shared" si="41"/>
        <v>8.8888888888888889E-3</v>
      </c>
      <c r="L56">
        <f t="shared" si="42"/>
        <v>1.0833333333333334E-2</v>
      </c>
      <c r="M56">
        <f t="shared" si="42"/>
        <v>1.1666666666666667E-2</v>
      </c>
      <c r="N56">
        <f t="shared" si="42"/>
        <v>1.7777777777777778E-2</v>
      </c>
    </row>
    <row r="57" spans="1:15" x14ac:dyDescent="0.25">
      <c r="A57">
        <f t="shared" si="43"/>
        <v>0.66666666666666663</v>
      </c>
      <c r="B57" s="3">
        <v>2</v>
      </c>
      <c r="C57" s="3">
        <v>3</v>
      </c>
      <c r="E57">
        <f t="shared" si="41"/>
        <v>5.0000000000000001E-3</v>
      </c>
      <c r="F57">
        <f t="shared" si="41"/>
        <v>5.7407407407407407E-3</v>
      </c>
      <c r="G57">
        <f t="shared" si="41"/>
        <v>6.2500000000000003E-3</v>
      </c>
      <c r="H57">
        <f t="shared" si="41"/>
        <v>6.6666666666666662E-3</v>
      </c>
      <c r="I57">
        <f t="shared" si="41"/>
        <v>7.5000000000000006E-3</v>
      </c>
      <c r="J57">
        <f t="shared" si="41"/>
        <v>8.0000000000000002E-3</v>
      </c>
      <c r="K57">
        <f t="shared" si="41"/>
        <v>8.8888888888888889E-3</v>
      </c>
      <c r="L57">
        <f t="shared" si="42"/>
        <v>1.0833333333333334E-2</v>
      </c>
      <c r="M57">
        <f t="shared" si="42"/>
        <v>1.1666666666666667E-2</v>
      </c>
      <c r="N57">
        <f t="shared" si="42"/>
        <v>1.7777777777777778E-2</v>
      </c>
    </row>
    <row r="58" spans="1:15" x14ac:dyDescent="0.25">
      <c r="A58">
        <f t="shared" si="43"/>
        <v>0.75</v>
      </c>
      <c r="B58" s="3">
        <v>3</v>
      </c>
      <c r="C58" s="3">
        <v>4</v>
      </c>
      <c r="E58">
        <f t="shared" si="41"/>
        <v>5.0000000000000001E-3</v>
      </c>
      <c r="F58">
        <f t="shared" si="41"/>
        <v>5.7407407407407407E-3</v>
      </c>
      <c r="G58">
        <f t="shared" si="41"/>
        <v>6.2500000000000003E-3</v>
      </c>
      <c r="H58">
        <f t="shared" si="41"/>
        <v>6.6666666666666662E-3</v>
      </c>
      <c r="I58">
        <f t="shared" si="41"/>
        <v>7.5000000000000006E-3</v>
      </c>
      <c r="J58">
        <f t="shared" si="41"/>
        <v>8.0000000000000002E-3</v>
      </c>
      <c r="K58">
        <f t="shared" si="41"/>
        <v>8.8888888888888889E-3</v>
      </c>
      <c r="L58">
        <f t="shared" si="42"/>
        <v>1.0833333333333334E-2</v>
      </c>
      <c r="M58">
        <f t="shared" si="42"/>
        <v>1.1666666666666667E-2</v>
      </c>
      <c r="N58">
        <f t="shared" si="42"/>
        <v>1.7777777777777778E-2</v>
      </c>
    </row>
    <row r="59" spans="1:15" x14ac:dyDescent="0.25">
      <c r="A59">
        <f t="shared" si="43"/>
        <v>0.6</v>
      </c>
      <c r="B59" s="3">
        <v>3</v>
      </c>
      <c r="C59" s="3">
        <v>5</v>
      </c>
      <c r="E59">
        <f t="shared" si="41"/>
        <v>5.0000000000000001E-3</v>
      </c>
      <c r="F59">
        <f t="shared" si="41"/>
        <v>5.7407407407407407E-3</v>
      </c>
      <c r="G59">
        <f t="shared" si="41"/>
        <v>6.2500000000000003E-3</v>
      </c>
      <c r="H59">
        <f t="shared" si="41"/>
        <v>6.6666666666666662E-3</v>
      </c>
      <c r="I59">
        <f t="shared" si="41"/>
        <v>7.5000000000000006E-3</v>
      </c>
      <c r="J59">
        <f t="shared" si="41"/>
        <v>8.0000000000000002E-3</v>
      </c>
      <c r="K59">
        <f t="shared" si="41"/>
        <v>8.8888888888888889E-3</v>
      </c>
      <c r="L59">
        <f t="shared" si="42"/>
        <v>1.0833333333333334E-2</v>
      </c>
      <c r="M59">
        <f t="shared" si="42"/>
        <v>1.1666666666666667E-2</v>
      </c>
      <c r="N59">
        <f t="shared" si="42"/>
        <v>1.7777777777777778E-2</v>
      </c>
    </row>
    <row r="60" spans="1:15" x14ac:dyDescent="0.25">
      <c r="A60">
        <f t="shared" si="43"/>
        <v>1.3333333333333333</v>
      </c>
      <c r="B60" s="3">
        <v>4</v>
      </c>
      <c r="C60" s="3">
        <v>3</v>
      </c>
      <c r="E60">
        <f t="shared" si="41"/>
        <v>5.0000000000000001E-3</v>
      </c>
      <c r="F60">
        <f t="shared" si="41"/>
        <v>5.7407407407407407E-3</v>
      </c>
      <c r="G60">
        <f t="shared" si="41"/>
        <v>6.2500000000000003E-3</v>
      </c>
      <c r="H60">
        <f t="shared" si="41"/>
        <v>6.6666666666666662E-3</v>
      </c>
      <c r="I60">
        <f t="shared" si="41"/>
        <v>7.5000000000000006E-3</v>
      </c>
      <c r="J60">
        <f t="shared" si="41"/>
        <v>8.0000000000000002E-3</v>
      </c>
      <c r="K60">
        <f t="shared" si="41"/>
        <v>8.8888888888888889E-3</v>
      </c>
      <c r="L60">
        <f t="shared" si="42"/>
        <v>1.0833333333333334E-2</v>
      </c>
      <c r="M60">
        <f t="shared" si="42"/>
        <v>1.1666666666666667E-2</v>
      </c>
      <c r="N60">
        <f t="shared" si="42"/>
        <v>1.7777777777777778E-2</v>
      </c>
    </row>
    <row r="61" spans="1:15" x14ac:dyDescent="0.25">
      <c r="A61">
        <f t="shared" si="43"/>
        <v>0.7142857142857143</v>
      </c>
      <c r="B61" s="3">
        <v>5</v>
      </c>
      <c r="C61" s="3">
        <v>7</v>
      </c>
      <c r="E61">
        <f t="shared" si="41"/>
        <v>5.0000000000000001E-3</v>
      </c>
      <c r="F61">
        <f t="shared" si="41"/>
        <v>5.7407407407407407E-3</v>
      </c>
      <c r="G61">
        <f t="shared" si="41"/>
        <v>6.2500000000000003E-3</v>
      </c>
      <c r="H61">
        <f t="shared" si="41"/>
        <v>6.6666666666666662E-3</v>
      </c>
      <c r="I61">
        <f t="shared" si="41"/>
        <v>7.5000000000000006E-3</v>
      </c>
      <c r="J61">
        <f t="shared" si="41"/>
        <v>8.0000000000000002E-3</v>
      </c>
      <c r="K61">
        <f t="shared" si="41"/>
        <v>8.8888888888888889E-3</v>
      </c>
      <c r="L61">
        <f t="shared" si="42"/>
        <v>1.0833333333333334E-2</v>
      </c>
      <c r="M61">
        <f t="shared" si="42"/>
        <v>1.1666666666666667E-2</v>
      </c>
      <c r="N61">
        <f t="shared" si="42"/>
        <v>1.7777777777777778E-2</v>
      </c>
    </row>
    <row r="62" spans="1:15" x14ac:dyDescent="0.25">
      <c r="A62">
        <f t="shared" si="43"/>
        <v>0.5892857142857143</v>
      </c>
      <c r="B62" s="3">
        <v>99</v>
      </c>
      <c r="C62" s="3">
        <v>168</v>
      </c>
      <c r="E62">
        <f t="shared" si="41"/>
        <v>5.0000000000000001E-3</v>
      </c>
      <c r="F62">
        <f t="shared" si="41"/>
        <v>5.7407407407407407E-3</v>
      </c>
      <c r="G62">
        <f t="shared" si="41"/>
        <v>6.2500000000000003E-3</v>
      </c>
      <c r="H62">
        <f t="shared" si="41"/>
        <v>6.6666666666666662E-3</v>
      </c>
      <c r="I62">
        <f t="shared" si="41"/>
        <v>7.5000000000000006E-3</v>
      </c>
      <c r="J62">
        <f t="shared" si="41"/>
        <v>8.0000000000000002E-3</v>
      </c>
      <c r="K62">
        <f t="shared" si="41"/>
        <v>8.8888888888888889E-3</v>
      </c>
      <c r="L62">
        <f t="shared" si="42"/>
        <v>1.0833333333333334E-2</v>
      </c>
      <c r="M62">
        <f t="shared" si="42"/>
        <v>1.1666666666666667E-2</v>
      </c>
      <c r="N62">
        <f t="shared" si="42"/>
        <v>1.7777777777777778E-2</v>
      </c>
    </row>
    <row r="63" spans="1:15" x14ac:dyDescent="0.25">
      <c r="A63">
        <f t="shared" si="43"/>
        <v>0.61764705882352944</v>
      </c>
      <c r="B63" s="3">
        <v>105</v>
      </c>
      <c r="C63" s="3">
        <v>170</v>
      </c>
      <c r="E63">
        <f t="shared" si="41"/>
        <v>5.0000000000000001E-3</v>
      </c>
      <c r="F63">
        <f t="shared" si="41"/>
        <v>5.7407407407407407E-3</v>
      </c>
      <c r="G63">
        <f t="shared" si="41"/>
        <v>6.2500000000000003E-3</v>
      </c>
      <c r="H63">
        <f t="shared" si="41"/>
        <v>6.6666666666666662E-3</v>
      </c>
      <c r="I63">
        <f t="shared" si="41"/>
        <v>7.5000000000000006E-3</v>
      </c>
      <c r="J63">
        <f t="shared" si="41"/>
        <v>8.0000000000000002E-3</v>
      </c>
      <c r="K63">
        <f t="shared" si="41"/>
        <v>8.8888888888888889E-3</v>
      </c>
      <c r="L63">
        <f t="shared" si="42"/>
        <v>1.0833333333333334E-2</v>
      </c>
      <c r="M63">
        <f t="shared" si="42"/>
        <v>1.1666666666666667E-2</v>
      </c>
      <c r="N63">
        <f t="shared" si="42"/>
        <v>1.7777777777777778E-2</v>
      </c>
    </row>
    <row r="64" spans="1:15" x14ac:dyDescent="0.25">
      <c r="A64">
        <f t="shared" si="43"/>
        <v>1.6716417910447761</v>
      </c>
      <c r="B64" s="3">
        <v>112</v>
      </c>
      <c r="C64" s="3">
        <v>67</v>
      </c>
      <c r="E64">
        <f t="shared" si="41"/>
        <v>5.0000000000000001E-3</v>
      </c>
      <c r="F64">
        <f t="shared" si="41"/>
        <v>5.7407407407407407E-3</v>
      </c>
      <c r="G64">
        <f t="shared" si="41"/>
        <v>6.2500000000000003E-3</v>
      </c>
      <c r="H64">
        <f t="shared" si="41"/>
        <v>6.6666666666666662E-3</v>
      </c>
      <c r="I64">
        <f t="shared" si="41"/>
        <v>7.5000000000000006E-3</v>
      </c>
      <c r="J64">
        <f t="shared" si="41"/>
        <v>8.0000000000000002E-3</v>
      </c>
      <c r="K64">
        <f t="shared" si="41"/>
        <v>8.8888888888888889E-3</v>
      </c>
      <c r="L64">
        <f t="shared" si="42"/>
        <v>1.0833333333333334E-2</v>
      </c>
      <c r="M64">
        <f t="shared" si="42"/>
        <v>1.1666666666666667E-2</v>
      </c>
      <c r="N64">
        <f t="shared" si="42"/>
        <v>1.7777777777777778E-2</v>
      </c>
    </row>
    <row r="65" spans="1:38" x14ac:dyDescent="0.25">
      <c r="A65">
        <f t="shared" si="43"/>
        <v>0.78488372093023251</v>
      </c>
      <c r="B65" s="3">
        <v>135</v>
      </c>
      <c r="C65" s="3">
        <v>172</v>
      </c>
      <c r="E65">
        <f t="shared" ref="E65:K71" si="44">($L$1*E$53)/E$54</f>
        <v>5.0000000000000001E-3</v>
      </c>
      <c r="F65">
        <f t="shared" si="44"/>
        <v>5.7407407407407407E-3</v>
      </c>
      <c r="G65">
        <f t="shared" si="44"/>
        <v>6.2500000000000003E-3</v>
      </c>
      <c r="H65">
        <f t="shared" si="44"/>
        <v>6.6666666666666662E-3</v>
      </c>
      <c r="I65">
        <f t="shared" si="44"/>
        <v>7.5000000000000006E-3</v>
      </c>
      <c r="J65">
        <f t="shared" si="44"/>
        <v>8.0000000000000002E-3</v>
      </c>
      <c r="K65">
        <f t="shared" si="44"/>
        <v>8.8888888888888889E-3</v>
      </c>
      <c r="L65">
        <f t="shared" si="42"/>
        <v>1.0833333333333334E-2</v>
      </c>
      <c r="M65">
        <f t="shared" si="42"/>
        <v>1.1666666666666667E-2</v>
      </c>
      <c r="N65">
        <f t="shared" si="42"/>
        <v>1.7777777777777778E-2</v>
      </c>
    </row>
    <row r="66" spans="1:38" x14ac:dyDescent="0.25">
      <c r="A66">
        <f t="shared" si="43"/>
        <v>0.6908212560386473</v>
      </c>
      <c r="B66" s="3">
        <v>143</v>
      </c>
      <c r="C66" s="3">
        <v>207</v>
      </c>
      <c r="E66">
        <f t="shared" si="44"/>
        <v>5.0000000000000001E-3</v>
      </c>
      <c r="F66">
        <f t="shared" si="44"/>
        <v>5.7407407407407407E-3</v>
      </c>
      <c r="G66">
        <f t="shared" si="44"/>
        <v>6.2500000000000003E-3</v>
      </c>
      <c r="H66">
        <f t="shared" si="44"/>
        <v>6.6666666666666662E-3</v>
      </c>
      <c r="I66">
        <f t="shared" si="44"/>
        <v>7.5000000000000006E-3</v>
      </c>
      <c r="J66">
        <f t="shared" si="44"/>
        <v>8.0000000000000002E-3</v>
      </c>
      <c r="K66">
        <f t="shared" si="44"/>
        <v>8.8888888888888889E-3</v>
      </c>
      <c r="L66">
        <f t="shared" si="42"/>
        <v>1.0833333333333334E-2</v>
      </c>
      <c r="M66">
        <f t="shared" si="42"/>
        <v>1.1666666666666667E-2</v>
      </c>
      <c r="N66">
        <f t="shared" si="42"/>
        <v>1.7777777777777778E-2</v>
      </c>
    </row>
    <row r="67" spans="1:38" x14ac:dyDescent="0.25">
      <c r="A67">
        <f t="shared" si="43"/>
        <v>0.70731707317073167</v>
      </c>
      <c r="B67" s="3">
        <v>145</v>
      </c>
      <c r="C67" s="3">
        <v>205</v>
      </c>
      <c r="E67">
        <f t="shared" si="44"/>
        <v>5.0000000000000001E-3</v>
      </c>
      <c r="F67">
        <f t="shared" si="44"/>
        <v>5.7407407407407407E-3</v>
      </c>
      <c r="G67">
        <f t="shared" si="44"/>
        <v>6.2500000000000003E-3</v>
      </c>
      <c r="H67">
        <f t="shared" si="44"/>
        <v>6.6666666666666662E-3</v>
      </c>
      <c r="I67">
        <f t="shared" si="44"/>
        <v>7.5000000000000006E-3</v>
      </c>
      <c r="J67">
        <f t="shared" si="44"/>
        <v>8.0000000000000002E-3</v>
      </c>
      <c r="K67">
        <f t="shared" si="44"/>
        <v>8.8888888888888889E-3</v>
      </c>
      <c r="L67">
        <f t="shared" si="42"/>
        <v>1.0833333333333334E-2</v>
      </c>
      <c r="M67">
        <f t="shared" si="42"/>
        <v>1.1666666666666667E-2</v>
      </c>
      <c r="N67">
        <f t="shared" si="42"/>
        <v>1.7777777777777778E-2</v>
      </c>
    </row>
    <row r="68" spans="1:38" x14ac:dyDescent="0.25">
      <c r="A68">
        <f t="shared" si="43"/>
        <v>0.71470588235294119</v>
      </c>
      <c r="B68" s="3">
        <v>243</v>
      </c>
      <c r="C68" s="3">
        <v>340</v>
      </c>
      <c r="E68">
        <f t="shared" si="44"/>
        <v>5.0000000000000001E-3</v>
      </c>
      <c r="F68">
        <f t="shared" si="44"/>
        <v>5.7407407407407407E-3</v>
      </c>
      <c r="G68">
        <f t="shared" si="44"/>
        <v>6.2500000000000003E-3</v>
      </c>
      <c r="H68">
        <f t="shared" si="44"/>
        <v>6.6666666666666662E-3</v>
      </c>
      <c r="I68">
        <f t="shared" si="44"/>
        <v>7.5000000000000006E-3</v>
      </c>
      <c r="J68">
        <f t="shared" si="44"/>
        <v>8.0000000000000002E-3</v>
      </c>
      <c r="K68">
        <f t="shared" si="44"/>
        <v>8.8888888888888889E-3</v>
      </c>
      <c r="L68">
        <f t="shared" si="42"/>
        <v>1.0833333333333334E-2</v>
      </c>
      <c r="M68">
        <f t="shared" si="42"/>
        <v>1.1666666666666667E-2</v>
      </c>
      <c r="N68">
        <f t="shared" si="42"/>
        <v>1.7777777777777778E-2</v>
      </c>
    </row>
    <row r="69" spans="1:38" x14ac:dyDescent="0.25">
      <c r="A69">
        <f t="shared" si="43"/>
        <v>1.1222707423580787</v>
      </c>
      <c r="B69" s="3">
        <v>257</v>
      </c>
      <c r="C69" s="3">
        <v>229</v>
      </c>
      <c r="E69">
        <f t="shared" si="44"/>
        <v>5.0000000000000001E-3</v>
      </c>
      <c r="F69">
        <f t="shared" si="44"/>
        <v>5.7407407407407407E-3</v>
      </c>
      <c r="G69">
        <f t="shared" si="44"/>
        <v>6.2500000000000003E-3</v>
      </c>
      <c r="H69">
        <f t="shared" si="44"/>
        <v>6.6666666666666662E-3</v>
      </c>
      <c r="I69">
        <f t="shared" si="44"/>
        <v>7.5000000000000006E-3</v>
      </c>
      <c r="J69">
        <f t="shared" si="44"/>
        <v>8.0000000000000002E-3</v>
      </c>
      <c r="K69">
        <f t="shared" si="44"/>
        <v>8.8888888888888889E-3</v>
      </c>
      <c r="L69">
        <f t="shared" si="42"/>
        <v>1.0833333333333334E-2</v>
      </c>
      <c r="M69">
        <f t="shared" si="42"/>
        <v>1.1666666666666667E-2</v>
      </c>
      <c r="N69">
        <f t="shared" si="42"/>
        <v>1.7777777777777778E-2</v>
      </c>
    </row>
    <row r="70" spans="1:38" x14ac:dyDescent="0.25">
      <c r="A70">
        <f t="shared" si="43"/>
        <v>0.85550458715596334</v>
      </c>
      <c r="B70" s="3">
        <v>373</v>
      </c>
      <c r="C70" s="3">
        <v>436</v>
      </c>
      <c r="E70">
        <f t="shared" si="44"/>
        <v>5.0000000000000001E-3</v>
      </c>
      <c r="F70">
        <f t="shared" si="44"/>
        <v>5.7407407407407407E-3</v>
      </c>
      <c r="G70">
        <f t="shared" si="44"/>
        <v>6.2500000000000003E-3</v>
      </c>
      <c r="H70">
        <f t="shared" si="44"/>
        <v>6.6666666666666662E-3</v>
      </c>
      <c r="I70">
        <f t="shared" si="44"/>
        <v>7.5000000000000006E-3</v>
      </c>
      <c r="J70">
        <f t="shared" si="44"/>
        <v>8.0000000000000002E-3</v>
      </c>
      <c r="K70">
        <f t="shared" si="44"/>
        <v>8.8888888888888889E-3</v>
      </c>
      <c r="L70">
        <f t="shared" si="42"/>
        <v>1.0833333333333334E-2</v>
      </c>
      <c r="M70">
        <f t="shared" si="42"/>
        <v>1.1666666666666667E-2</v>
      </c>
      <c r="N70">
        <f t="shared" si="42"/>
        <v>1.7777777777777778E-2</v>
      </c>
    </row>
    <row r="71" spans="1:38" x14ac:dyDescent="0.25">
      <c r="A71">
        <f t="shared" si="43"/>
        <v>0.52222222222222225</v>
      </c>
      <c r="B71" s="3">
        <v>752</v>
      </c>
      <c r="C71" s="3">
        <v>1440</v>
      </c>
      <c r="E71">
        <f t="shared" si="44"/>
        <v>5.0000000000000001E-3</v>
      </c>
      <c r="F71">
        <f t="shared" si="44"/>
        <v>5.7407407407407407E-3</v>
      </c>
      <c r="G71">
        <f t="shared" si="44"/>
        <v>6.2500000000000003E-3</v>
      </c>
      <c r="H71">
        <f t="shared" si="44"/>
        <v>6.6666666666666662E-3</v>
      </c>
      <c r="I71">
        <f t="shared" si="44"/>
        <v>7.5000000000000006E-3</v>
      </c>
      <c r="J71">
        <f t="shared" si="44"/>
        <v>8.0000000000000002E-3</v>
      </c>
      <c r="K71">
        <f t="shared" si="44"/>
        <v>8.8888888888888889E-3</v>
      </c>
      <c r="L71">
        <f>($L$1*L$53)/L$54</f>
        <v>1.0833333333333334E-2</v>
      </c>
      <c r="M71">
        <f t="shared" ref="M71:N71" si="45">($L$1*M$53)/M$54</f>
        <v>1.1666666666666667E-2</v>
      </c>
      <c r="N71">
        <f t="shared" si="45"/>
        <v>1.7777777777777778E-2</v>
      </c>
    </row>
    <row r="74" spans="1:38" x14ac:dyDescent="0.25">
      <c r="E74" s="1" t="s">
        <v>19</v>
      </c>
      <c r="G74" s="2"/>
      <c r="H74" s="2"/>
      <c r="I74" s="2"/>
      <c r="J74" s="2"/>
      <c r="K74" s="2"/>
      <c r="R74" s="6" t="s">
        <v>20</v>
      </c>
      <c r="AC74" s="6" t="s">
        <v>21</v>
      </c>
    </row>
    <row r="75" spans="1:38" x14ac:dyDescent="0.25">
      <c r="E75" s="3">
        <v>1</v>
      </c>
      <c r="F75" s="3">
        <v>8</v>
      </c>
      <c r="G75" s="3">
        <v>5</v>
      </c>
      <c r="H75" s="3">
        <v>4</v>
      </c>
      <c r="I75" s="3">
        <v>3</v>
      </c>
      <c r="J75" s="3">
        <v>16</v>
      </c>
      <c r="K75" s="3">
        <v>16</v>
      </c>
      <c r="L75" s="3">
        <v>19.5</v>
      </c>
      <c r="M75" s="3">
        <v>21</v>
      </c>
      <c r="N75" s="3">
        <v>32</v>
      </c>
      <c r="O75" s="3"/>
      <c r="R75" s="3">
        <v>1</v>
      </c>
      <c r="S75" s="3">
        <v>8</v>
      </c>
      <c r="T75" s="3">
        <v>5</v>
      </c>
      <c r="U75" s="3">
        <v>4</v>
      </c>
      <c r="V75" s="3">
        <v>3</v>
      </c>
      <c r="W75" s="3">
        <v>16</v>
      </c>
      <c r="X75" s="3">
        <v>16</v>
      </c>
      <c r="Y75" s="3">
        <v>19.5</v>
      </c>
      <c r="Z75" s="3">
        <v>21</v>
      </c>
      <c r="AA75" s="3">
        <v>32</v>
      </c>
      <c r="AC75" s="3">
        <v>1</v>
      </c>
      <c r="AD75" s="3">
        <v>8</v>
      </c>
      <c r="AE75" s="3">
        <v>5</v>
      </c>
      <c r="AF75" s="3">
        <v>4</v>
      </c>
      <c r="AG75" s="3">
        <v>3</v>
      </c>
      <c r="AH75" s="3">
        <v>16</v>
      </c>
      <c r="AI75" s="3">
        <v>16</v>
      </c>
      <c r="AJ75" s="3">
        <v>19.5</v>
      </c>
      <c r="AK75" s="3">
        <v>21</v>
      </c>
      <c r="AL75" s="3">
        <v>32</v>
      </c>
    </row>
    <row r="76" spans="1:38" x14ac:dyDescent="0.25">
      <c r="E76" s="3">
        <v>1</v>
      </c>
      <c r="F76" s="3">
        <v>7</v>
      </c>
      <c r="G76" s="3">
        <v>4</v>
      </c>
      <c r="H76" s="3">
        <v>3</v>
      </c>
      <c r="I76" s="3">
        <v>2</v>
      </c>
      <c r="J76" s="3">
        <v>10</v>
      </c>
      <c r="K76" s="3">
        <v>9</v>
      </c>
      <c r="L76" s="3">
        <v>9</v>
      </c>
      <c r="M76" s="3">
        <v>9</v>
      </c>
      <c r="N76" s="3">
        <v>9</v>
      </c>
      <c r="O76" s="3"/>
      <c r="R76" s="3">
        <v>1</v>
      </c>
      <c r="S76" s="3">
        <v>7</v>
      </c>
      <c r="T76" s="3">
        <v>4</v>
      </c>
      <c r="U76" s="3">
        <v>3</v>
      </c>
      <c r="V76" s="3">
        <v>2</v>
      </c>
      <c r="W76" s="3">
        <v>10</v>
      </c>
      <c r="X76" s="3">
        <v>9</v>
      </c>
      <c r="Y76" s="3">
        <v>9</v>
      </c>
      <c r="Z76" s="3">
        <v>9</v>
      </c>
      <c r="AA76" s="3">
        <v>9</v>
      </c>
      <c r="AC76" s="3">
        <v>1</v>
      </c>
      <c r="AD76" s="3">
        <v>7</v>
      </c>
      <c r="AE76" s="3">
        <v>4</v>
      </c>
      <c r="AF76" s="3">
        <v>3</v>
      </c>
      <c r="AG76" s="3">
        <v>2</v>
      </c>
      <c r="AH76" s="3">
        <v>10</v>
      </c>
      <c r="AI76" s="3">
        <v>9</v>
      </c>
      <c r="AJ76" s="3">
        <v>9</v>
      </c>
      <c r="AK76" s="3">
        <v>9</v>
      </c>
      <c r="AL76" s="3">
        <v>9</v>
      </c>
    </row>
    <row r="77" spans="1:38" x14ac:dyDescent="0.25">
      <c r="D77" s="3" t="s">
        <v>0</v>
      </c>
      <c r="E77" s="3">
        <v>720</v>
      </c>
      <c r="F77">
        <v>1240</v>
      </c>
      <c r="G77" s="3">
        <v>900</v>
      </c>
      <c r="H77" s="3">
        <v>960</v>
      </c>
      <c r="I77" s="3">
        <v>1080</v>
      </c>
      <c r="J77" s="3">
        <v>1152</v>
      </c>
      <c r="K77" s="3">
        <v>1280</v>
      </c>
      <c r="L77" s="3">
        <v>1560</v>
      </c>
      <c r="M77" s="3">
        <v>1680</v>
      </c>
      <c r="N77">
        <v>2560</v>
      </c>
      <c r="R77" s="3">
        <v>720</v>
      </c>
      <c r="S77">
        <v>1240</v>
      </c>
      <c r="T77" s="3">
        <v>900</v>
      </c>
      <c r="U77" s="3">
        <v>960</v>
      </c>
      <c r="V77" s="3">
        <v>1080</v>
      </c>
      <c r="W77" s="3">
        <v>1152</v>
      </c>
      <c r="X77" s="3">
        <v>1280</v>
      </c>
      <c r="Y77" s="3">
        <v>1560</v>
      </c>
      <c r="Z77" s="3">
        <v>1680</v>
      </c>
      <c r="AA77">
        <v>2560</v>
      </c>
      <c r="AC77" s="3">
        <v>720</v>
      </c>
      <c r="AD77">
        <v>1240</v>
      </c>
      <c r="AE77" s="3">
        <v>900</v>
      </c>
      <c r="AF77" s="3">
        <v>960</v>
      </c>
      <c r="AG77" s="3">
        <v>1080</v>
      </c>
      <c r="AH77" s="3">
        <v>1152</v>
      </c>
      <c r="AI77" s="3">
        <v>1280</v>
      </c>
      <c r="AJ77" s="3">
        <v>1560</v>
      </c>
      <c r="AK77" s="3">
        <v>1680</v>
      </c>
      <c r="AL77">
        <v>2560</v>
      </c>
    </row>
    <row r="78" spans="1:38" x14ac:dyDescent="0.25">
      <c r="B78" s="2" t="s">
        <v>0</v>
      </c>
      <c r="C78" s="2" t="s">
        <v>1</v>
      </c>
      <c r="D78" s="3" t="s">
        <v>1</v>
      </c>
      <c r="E78" s="3">
        <v>720</v>
      </c>
      <c r="F78" s="3">
        <v>1080</v>
      </c>
      <c r="G78" s="3">
        <v>720</v>
      </c>
      <c r="H78" s="3">
        <v>720</v>
      </c>
      <c r="I78" s="3">
        <v>720</v>
      </c>
      <c r="J78" s="3">
        <v>720</v>
      </c>
      <c r="K78" s="3">
        <v>720</v>
      </c>
      <c r="L78" s="3">
        <v>720</v>
      </c>
      <c r="M78" s="3">
        <v>720</v>
      </c>
      <c r="N78" s="3">
        <v>720</v>
      </c>
      <c r="O78" s="3"/>
      <c r="R78" s="3">
        <v>720</v>
      </c>
      <c r="S78" s="3">
        <v>1080</v>
      </c>
      <c r="T78" s="3">
        <v>720</v>
      </c>
      <c r="U78" s="3">
        <v>720</v>
      </c>
      <c r="V78" s="3">
        <v>720</v>
      </c>
      <c r="W78" s="3">
        <v>720</v>
      </c>
      <c r="X78" s="3">
        <v>720</v>
      </c>
      <c r="Y78" s="3">
        <v>720</v>
      </c>
      <c r="Z78" s="3">
        <v>720</v>
      </c>
      <c r="AA78" s="3">
        <v>720</v>
      </c>
      <c r="AC78" s="3">
        <v>720</v>
      </c>
      <c r="AD78" s="3">
        <v>1080</v>
      </c>
      <c r="AE78" s="3">
        <v>720</v>
      </c>
      <c r="AF78" s="3">
        <v>720</v>
      </c>
      <c r="AG78" s="3">
        <v>720</v>
      </c>
      <c r="AH78" s="3">
        <v>720</v>
      </c>
      <c r="AI78" s="3">
        <v>720</v>
      </c>
      <c r="AJ78" s="3">
        <v>720</v>
      </c>
      <c r="AK78" s="3">
        <v>720</v>
      </c>
      <c r="AL78" s="3">
        <v>720</v>
      </c>
    </row>
    <row r="79" spans="1:38" x14ac:dyDescent="0.25">
      <c r="A79">
        <f>B79/C79</f>
        <v>1</v>
      </c>
      <c r="B79" s="3">
        <v>1</v>
      </c>
      <c r="C79" s="3">
        <v>1</v>
      </c>
      <c r="E79">
        <f>IF($A79&gt;1, 3, IF($A79&lt;0.666, 5, 4))-1</f>
        <v>3</v>
      </c>
      <c r="F79">
        <f>IF($A79&gt;1, 3, IF($A79&lt;0.666, 5, 4))-1</f>
        <v>3</v>
      </c>
      <c r="G79">
        <f t="shared" ref="G79:J94" si="46">IF($A79&gt;1, 3, IF($A79&lt;0.666, 5, 4))</f>
        <v>4</v>
      </c>
      <c r="H79">
        <f t="shared" si="46"/>
        <v>4</v>
      </c>
      <c r="I79">
        <f t="shared" si="46"/>
        <v>4</v>
      </c>
      <c r="J79">
        <f t="shared" si="46"/>
        <v>4</v>
      </c>
      <c r="K79">
        <f>IF($A79&gt;1, 3, IF($A79&lt;0.666, 5, 4))</f>
        <v>4</v>
      </c>
      <c r="L79">
        <f t="shared" ref="L79" si="47">IF($A79&gt;1, 3, IF($A79&lt;0.666, 5, 4))</f>
        <v>4</v>
      </c>
      <c r="M79">
        <f>IF($A79&gt;1, 3, IF($A79&lt;0.666, 5, 4))+1</f>
        <v>5</v>
      </c>
      <c r="N79">
        <f>IF($A79&gt;1, 3, IF($A79&lt;0.666, 5, 4))+3</f>
        <v>7</v>
      </c>
      <c r="R79">
        <f t="shared" ref="R79:AA79" si="48">$R$2/E31</f>
        <v>3.4848264846812835</v>
      </c>
      <c r="S79">
        <f t="shared" si="48"/>
        <v>3.0351714543998276</v>
      </c>
      <c r="T79">
        <f t="shared" si="48"/>
        <v>3.7448800468110006</v>
      </c>
      <c r="U79">
        <f t="shared" si="48"/>
        <v>3.5108250438853132</v>
      </c>
      <c r="V79">
        <f t="shared" si="48"/>
        <v>3.1207333723425004</v>
      </c>
      <c r="W79">
        <f t="shared" si="48"/>
        <v>2.9256875365710941</v>
      </c>
      <c r="X79">
        <f t="shared" si="48"/>
        <v>2.6331187829139848</v>
      </c>
      <c r="Y79">
        <f t="shared" si="48"/>
        <v>2.160507719314039</v>
      </c>
      <c r="Z79">
        <f t="shared" si="48"/>
        <v>2.5265817454468897</v>
      </c>
      <c r="AA79">
        <f t="shared" si="48"/>
        <v>2.3567260212479431</v>
      </c>
      <c r="AC79">
        <f t="shared" ref="AC79:AL79" si="49">R79*E79</f>
        <v>10.454479454043851</v>
      </c>
      <c r="AD79">
        <f t="shared" si="49"/>
        <v>9.1055143631994824</v>
      </c>
      <c r="AE79">
        <f t="shared" si="49"/>
        <v>14.979520187244002</v>
      </c>
      <c r="AF79">
        <f t="shared" si="49"/>
        <v>14.043300175541253</v>
      </c>
      <c r="AG79">
        <f t="shared" si="49"/>
        <v>12.482933489370001</v>
      </c>
      <c r="AH79">
        <f t="shared" si="49"/>
        <v>11.702750146284377</v>
      </c>
      <c r="AI79">
        <f t="shared" si="49"/>
        <v>10.532475131655939</v>
      </c>
      <c r="AJ79">
        <f t="shared" si="49"/>
        <v>8.6420308772561558</v>
      </c>
      <c r="AK79">
        <f t="shared" si="49"/>
        <v>12.632908727234449</v>
      </c>
      <c r="AL79">
        <f t="shared" si="49"/>
        <v>16.497082148735601</v>
      </c>
    </row>
    <row r="80" spans="1:38" x14ac:dyDescent="0.25">
      <c r="A80">
        <f t="shared" ref="A80:A95" si="50">B80/C80</f>
        <v>0.5</v>
      </c>
      <c r="B80" s="3">
        <v>1</v>
      </c>
      <c r="C80" s="3">
        <v>2</v>
      </c>
      <c r="E80">
        <f t="shared" ref="E80:E95" si="51">IF($A80&gt;1, 3, IF($A80&lt;0.666, 5, 4))-1</f>
        <v>4</v>
      </c>
      <c r="F80">
        <f t="shared" ref="F80:F95" si="52">IF($A80&gt;1, 3, IF($A80&lt;0.666, 5, 4))-1</f>
        <v>4</v>
      </c>
      <c r="G80">
        <f t="shared" si="46"/>
        <v>5</v>
      </c>
      <c r="H80">
        <f t="shared" si="46"/>
        <v>5</v>
      </c>
      <c r="I80">
        <f t="shared" si="46"/>
        <v>5</v>
      </c>
      <c r="J80">
        <f t="shared" si="46"/>
        <v>5</v>
      </c>
      <c r="K80">
        <f t="shared" ref="K80:L95" si="53">IF($A80&gt;1, 3, IF($A80&lt;0.666, 5, 4))</f>
        <v>5</v>
      </c>
      <c r="L80">
        <f t="shared" si="53"/>
        <v>5</v>
      </c>
      <c r="M80">
        <f t="shared" ref="M80:N95" si="54">IF($A80&gt;1, 3, IF($A80&lt;0.666, 5, 4))+1</f>
        <v>6</v>
      </c>
      <c r="N80">
        <f t="shared" ref="N80:N95" si="55">IF($A80&gt;1, 3, IF($A80&lt;0.666, 5, 4))+3</f>
        <v>8</v>
      </c>
      <c r="R80">
        <f t="shared" ref="R80:R95" si="56">$R$2/E32</f>
        <v>2.3405500292568755</v>
      </c>
      <c r="S80">
        <f t="shared" ref="S80:S95" si="57">$R$2/F32</f>
        <v>2.0385435738688917</v>
      </c>
      <c r="T80">
        <f t="shared" ref="T80:T95" si="58">$R$2/G32</f>
        <v>2.3581429624170966</v>
      </c>
      <c r="U80">
        <f t="shared" ref="U80:U95" si="59">$R$2/H32</f>
        <v>2.210759027266028</v>
      </c>
      <c r="V80">
        <f t="shared" ref="V80:V95" si="60">$R$2/I32</f>
        <v>1.9651191353475808</v>
      </c>
      <c r="W80">
        <f t="shared" ref="W80:W95" si="61">$R$2/J32</f>
        <v>1.8422991893883569</v>
      </c>
      <c r="X80">
        <f t="shared" ref="X80:X95" si="62">$R$2/K32</f>
        <v>1.6580692704495215</v>
      </c>
      <c r="Y80">
        <f t="shared" ref="Y80:Y95" si="63">$R$2/L32</f>
        <v>1.3604670937021712</v>
      </c>
      <c r="Z80">
        <f t="shared" ref="Z80:AA80" si="64">$R$2/M32</f>
        <v>1.5274300988586704</v>
      </c>
      <c r="AA80">
        <f t="shared" si="64"/>
        <v>1.357056694813028</v>
      </c>
      <c r="AC80">
        <f t="shared" ref="AC80:AC95" si="65">R80*E80</f>
        <v>9.362200117027502</v>
      </c>
      <c r="AD80">
        <f t="shared" ref="AD80:AD95" si="66">S80*F80</f>
        <v>8.1541742954755669</v>
      </c>
      <c r="AE80">
        <f t="shared" ref="AE80:AE95" si="67">T80*G80</f>
        <v>11.790714812085483</v>
      </c>
      <c r="AF80">
        <f t="shared" ref="AF80:AF95" si="68">U80*H80</f>
        <v>11.053795136330141</v>
      </c>
      <c r="AG80">
        <f t="shared" ref="AG80:AG95" si="69">V80*I80</f>
        <v>9.8255956767379047</v>
      </c>
      <c r="AH80">
        <f t="shared" ref="AH80:AH95" si="70">W80*J80</f>
        <v>9.2114959469417848</v>
      </c>
      <c r="AI80">
        <f t="shared" ref="AI80:AI95" si="71">X80*K80</f>
        <v>8.2903463522476066</v>
      </c>
      <c r="AJ80">
        <f t="shared" ref="AJ80:AJ95" si="72">Y80*L80</f>
        <v>6.8023354685108561</v>
      </c>
      <c r="AK80">
        <f t="shared" ref="AK80:AK95" si="73">Z80*M80</f>
        <v>9.1645805931520226</v>
      </c>
      <c r="AL80">
        <f t="shared" ref="AL80:AL95" si="74">AA80*N80</f>
        <v>10.856453558504224</v>
      </c>
    </row>
    <row r="81" spans="1:38" x14ac:dyDescent="0.25">
      <c r="A81">
        <f t="shared" si="50"/>
        <v>0.66666666666666663</v>
      </c>
      <c r="B81" s="3">
        <v>2</v>
      </c>
      <c r="C81" s="3">
        <v>3</v>
      </c>
      <c r="E81">
        <f t="shared" si="51"/>
        <v>3</v>
      </c>
      <c r="F81">
        <f t="shared" si="52"/>
        <v>3</v>
      </c>
      <c r="G81">
        <f t="shared" si="46"/>
        <v>4</v>
      </c>
      <c r="H81">
        <f t="shared" si="46"/>
        <v>4</v>
      </c>
      <c r="I81">
        <f t="shared" si="46"/>
        <v>4</v>
      </c>
      <c r="J81">
        <f t="shared" si="46"/>
        <v>4</v>
      </c>
      <c r="K81">
        <f t="shared" si="53"/>
        <v>4</v>
      </c>
      <c r="L81">
        <f t="shared" si="53"/>
        <v>4</v>
      </c>
      <c r="M81">
        <f t="shared" si="54"/>
        <v>5</v>
      </c>
      <c r="N81">
        <f t="shared" si="55"/>
        <v>7</v>
      </c>
      <c r="R81">
        <f t="shared" si="56"/>
        <v>2.3232176564541889</v>
      </c>
      <c r="S81">
        <f t="shared" si="57"/>
        <v>2.0234476362665519</v>
      </c>
      <c r="T81">
        <f t="shared" si="58"/>
        <v>2.4965866978740006</v>
      </c>
      <c r="U81">
        <f t="shared" si="59"/>
        <v>2.3405500292568755</v>
      </c>
      <c r="V81">
        <f t="shared" si="60"/>
        <v>2.0804889148950005</v>
      </c>
      <c r="W81">
        <f t="shared" si="61"/>
        <v>1.9504583577140628</v>
      </c>
      <c r="X81">
        <f t="shared" si="62"/>
        <v>1.7554125219426564</v>
      </c>
      <c r="Y81">
        <f t="shared" si="63"/>
        <v>1.4403384795426928</v>
      </c>
      <c r="Z81">
        <f t="shared" ref="Z81:AA81" si="75">$R$2/M33</f>
        <v>1.6843878302979265</v>
      </c>
      <c r="AA81">
        <f t="shared" si="75"/>
        <v>1.571150680831962</v>
      </c>
      <c r="AC81">
        <f t="shared" si="65"/>
        <v>6.9696529693625671</v>
      </c>
      <c r="AD81">
        <f t="shared" si="66"/>
        <v>6.0703429087996561</v>
      </c>
      <c r="AE81">
        <f t="shared" si="67"/>
        <v>9.9863467914960022</v>
      </c>
      <c r="AF81">
        <f t="shared" si="68"/>
        <v>9.362200117027502</v>
      </c>
      <c r="AG81">
        <f t="shared" si="69"/>
        <v>8.3219556595800022</v>
      </c>
      <c r="AH81">
        <f t="shared" si="70"/>
        <v>7.8018334308562514</v>
      </c>
      <c r="AI81">
        <f t="shared" si="71"/>
        <v>7.0216500877706256</v>
      </c>
      <c r="AJ81">
        <f t="shared" si="72"/>
        <v>5.7613539181707711</v>
      </c>
      <c r="AK81">
        <f t="shared" si="73"/>
        <v>8.4219391514896316</v>
      </c>
      <c r="AL81">
        <f t="shared" si="74"/>
        <v>10.998054765823733</v>
      </c>
    </row>
    <row r="82" spans="1:38" x14ac:dyDescent="0.25">
      <c r="A82">
        <f t="shared" si="50"/>
        <v>0.75</v>
      </c>
      <c r="B82" s="3">
        <v>3</v>
      </c>
      <c r="C82" s="3">
        <v>4</v>
      </c>
      <c r="E82">
        <f t="shared" si="51"/>
        <v>3</v>
      </c>
      <c r="F82">
        <f t="shared" si="52"/>
        <v>3</v>
      </c>
      <c r="G82">
        <f t="shared" si="46"/>
        <v>4</v>
      </c>
      <c r="H82">
        <f t="shared" si="46"/>
        <v>4</v>
      </c>
      <c r="I82">
        <f t="shared" si="46"/>
        <v>4</v>
      </c>
      <c r="J82">
        <f t="shared" si="46"/>
        <v>4</v>
      </c>
      <c r="K82">
        <f t="shared" si="53"/>
        <v>4</v>
      </c>
      <c r="L82">
        <f t="shared" si="53"/>
        <v>4</v>
      </c>
      <c r="M82">
        <f t="shared" si="54"/>
        <v>5</v>
      </c>
      <c r="N82">
        <f t="shared" si="55"/>
        <v>7</v>
      </c>
      <c r="R82">
        <f t="shared" si="56"/>
        <v>2.6136198635109626</v>
      </c>
      <c r="S82">
        <f t="shared" si="57"/>
        <v>2.276378590799871</v>
      </c>
      <c r="T82">
        <f t="shared" si="58"/>
        <v>2.8086600351082507</v>
      </c>
      <c r="U82">
        <f t="shared" si="59"/>
        <v>2.6331187829139848</v>
      </c>
      <c r="V82">
        <f t="shared" si="60"/>
        <v>2.3405500292568755</v>
      </c>
      <c r="W82">
        <f t="shared" si="61"/>
        <v>2.1942656524283213</v>
      </c>
      <c r="X82">
        <f t="shared" si="62"/>
        <v>1.9748390871854888</v>
      </c>
      <c r="Y82">
        <f t="shared" si="63"/>
        <v>1.6203807894855293</v>
      </c>
      <c r="Z82">
        <f t="shared" ref="Z82:AA82" si="76">$R$2/M34</f>
        <v>1.8949363090851672</v>
      </c>
      <c r="AA82">
        <f t="shared" si="76"/>
        <v>1.7675445159359575</v>
      </c>
      <c r="AC82">
        <f t="shared" si="65"/>
        <v>7.8408595905328884</v>
      </c>
      <c r="AD82">
        <f t="shared" si="66"/>
        <v>6.8291357723996136</v>
      </c>
      <c r="AE82">
        <f t="shared" si="67"/>
        <v>11.234640140433003</v>
      </c>
      <c r="AF82">
        <f t="shared" si="68"/>
        <v>10.532475131655939</v>
      </c>
      <c r="AG82">
        <f t="shared" si="69"/>
        <v>9.362200117027502</v>
      </c>
      <c r="AH82">
        <f t="shared" si="70"/>
        <v>8.7770626097132851</v>
      </c>
      <c r="AI82">
        <f t="shared" si="71"/>
        <v>7.8993563487419554</v>
      </c>
      <c r="AJ82">
        <f t="shared" si="72"/>
        <v>6.4815231579421173</v>
      </c>
      <c r="AK82">
        <f t="shared" si="73"/>
        <v>9.4746815454258364</v>
      </c>
      <c r="AL82">
        <f t="shared" si="74"/>
        <v>12.372811611551702</v>
      </c>
    </row>
    <row r="83" spans="1:38" x14ac:dyDescent="0.25">
      <c r="A83">
        <f t="shared" si="50"/>
        <v>0.6</v>
      </c>
      <c r="B83" s="3">
        <v>3</v>
      </c>
      <c r="C83" s="3">
        <v>5</v>
      </c>
      <c r="E83">
        <f t="shared" si="51"/>
        <v>4</v>
      </c>
      <c r="F83">
        <f t="shared" si="52"/>
        <v>4</v>
      </c>
      <c r="G83">
        <f t="shared" si="46"/>
        <v>5</v>
      </c>
      <c r="H83">
        <f t="shared" si="46"/>
        <v>5</v>
      </c>
      <c r="I83">
        <f t="shared" si="46"/>
        <v>5</v>
      </c>
      <c r="J83">
        <f t="shared" si="46"/>
        <v>5</v>
      </c>
      <c r="K83">
        <f t="shared" si="53"/>
        <v>5</v>
      </c>
      <c r="L83">
        <f t="shared" si="53"/>
        <v>5</v>
      </c>
      <c r="M83">
        <f t="shared" si="54"/>
        <v>6</v>
      </c>
      <c r="N83">
        <f t="shared" si="55"/>
        <v>8</v>
      </c>
      <c r="R83">
        <f t="shared" si="56"/>
        <v>2.8086600351082507</v>
      </c>
      <c r="S83">
        <f t="shared" si="57"/>
        <v>2.4462522886426701</v>
      </c>
      <c r="T83">
        <f t="shared" si="58"/>
        <v>2.8297715549005158</v>
      </c>
      <c r="U83">
        <f t="shared" si="59"/>
        <v>2.6529108327192334</v>
      </c>
      <c r="V83">
        <f t="shared" si="60"/>
        <v>2.3581429624170966</v>
      </c>
      <c r="W83">
        <f t="shared" si="61"/>
        <v>2.210759027266028</v>
      </c>
      <c r="X83">
        <f t="shared" si="62"/>
        <v>1.9896831245394255</v>
      </c>
      <c r="Y83">
        <f t="shared" si="63"/>
        <v>1.6325605124426055</v>
      </c>
      <c r="Z83">
        <f t="shared" ref="Z83:AA83" si="77">$R$2/M35</f>
        <v>1.8329161186304046</v>
      </c>
      <c r="AA83">
        <f t="shared" si="77"/>
        <v>1.6284680337756336</v>
      </c>
      <c r="AC83">
        <f t="shared" si="65"/>
        <v>11.234640140433003</v>
      </c>
      <c r="AD83">
        <f t="shared" si="66"/>
        <v>9.7850091545706803</v>
      </c>
      <c r="AE83">
        <f t="shared" si="67"/>
        <v>14.148857774502579</v>
      </c>
      <c r="AF83">
        <f t="shared" si="68"/>
        <v>13.264554163596166</v>
      </c>
      <c r="AG83">
        <f t="shared" si="69"/>
        <v>11.790714812085483</v>
      </c>
      <c r="AH83">
        <f t="shared" si="70"/>
        <v>11.053795136330141</v>
      </c>
      <c r="AI83">
        <f t="shared" si="71"/>
        <v>9.9484156226971283</v>
      </c>
      <c r="AJ83">
        <f t="shared" si="72"/>
        <v>8.1628025622130274</v>
      </c>
      <c r="AK83">
        <f t="shared" si="73"/>
        <v>10.997496711782428</v>
      </c>
      <c r="AL83">
        <f t="shared" si="74"/>
        <v>13.027744270205069</v>
      </c>
    </row>
    <row r="84" spans="1:38" x14ac:dyDescent="0.25">
      <c r="A84">
        <f t="shared" si="50"/>
        <v>1.3333333333333333</v>
      </c>
      <c r="B84" s="3">
        <v>4</v>
      </c>
      <c r="C84" s="3">
        <v>3</v>
      </c>
      <c r="E84">
        <f t="shared" si="51"/>
        <v>2</v>
      </c>
      <c r="F84">
        <f t="shared" si="52"/>
        <v>2</v>
      </c>
      <c r="G84">
        <f t="shared" si="46"/>
        <v>3</v>
      </c>
      <c r="H84">
        <f t="shared" si="46"/>
        <v>3</v>
      </c>
      <c r="I84">
        <f t="shared" si="46"/>
        <v>3</v>
      </c>
      <c r="J84">
        <f t="shared" si="46"/>
        <v>3</v>
      </c>
      <c r="K84">
        <f t="shared" si="53"/>
        <v>3</v>
      </c>
      <c r="L84">
        <f t="shared" si="53"/>
        <v>3</v>
      </c>
      <c r="M84">
        <f t="shared" si="54"/>
        <v>4</v>
      </c>
      <c r="N84">
        <f t="shared" si="55"/>
        <v>6</v>
      </c>
      <c r="R84">
        <f t="shared" si="56"/>
        <v>3.0748534640146059</v>
      </c>
      <c r="S84">
        <f t="shared" si="57"/>
        <v>2.6780981783353015</v>
      </c>
      <c r="T84">
        <f t="shared" si="58"/>
        <v>3.7171482503267024</v>
      </c>
      <c r="U84">
        <f t="shared" si="59"/>
        <v>3.4848264846812835</v>
      </c>
      <c r="V84">
        <f t="shared" si="60"/>
        <v>3.0976235419389186</v>
      </c>
      <c r="W84">
        <f t="shared" si="61"/>
        <v>2.9040220705677364</v>
      </c>
      <c r="X84">
        <f t="shared" si="62"/>
        <v>2.6136198635109631</v>
      </c>
      <c r="Y84">
        <f t="shared" si="63"/>
        <v>2.144508605957713</v>
      </c>
      <c r="Z84">
        <f t="shared" ref="Z84:AA84" si="78">$R$2/M36</f>
        <v>2.674914319150715</v>
      </c>
      <c r="AA84">
        <f t="shared" si="78"/>
        <v>2.6730026730026739</v>
      </c>
      <c r="AC84">
        <f t="shared" si="65"/>
        <v>6.1497069280292118</v>
      </c>
      <c r="AD84">
        <f t="shared" si="66"/>
        <v>5.356196356670603</v>
      </c>
      <c r="AE84">
        <f t="shared" si="67"/>
        <v>11.151444750980108</v>
      </c>
      <c r="AF84">
        <f t="shared" si="68"/>
        <v>10.454479454043851</v>
      </c>
      <c r="AG84">
        <f t="shared" si="69"/>
        <v>9.2928706258167555</v>
      </c>
      <c r="AH84">
        <f t="shared" si="70"/>
        <v>8.7120662117032097</v>
      </c>
      <c r="AI84">
        <f t="shared" si="71"/>
        <v>7.8408595905328893</v>
      </c>
      <c r="AJ84">
        <f t="shared" si="72"/>
        <v>6.4335258178731394</v>
      </c>
      <c r="AK84">
        <f t="shared" si="73"/>
        <v>10.69965727660286</v>
      </c>
      <c r="AL84">
        <f t="shared" si="74"/>
        <v>16.038016038016043</v>
      </c>
    </row>
    <row r="85" spans="1:38" x14ac:dyDescent="0.25">
      <c r="A85">
        <f t="shared" si="50"/>
        <v>0.7142857142857143</v>
      </c>
      <c r="B85" s="3">
        <v>5</v>
      </c>
      <c r="C85" s="3">
        <v>7</v>
      </c>
      <c r="E85">
        <f t="shared" si="51"/>
        <v>3</v>
      </c>
      <c r="F85">
        <f t="shared" si="52"/>
        <v>3</v>
      </c>
      <c r="G85">
        <f t="shared" si="46"/>
        <v>4</v>
      </c>
      <c r="H85">
        <f t="shared" si="46"/>
        <v>4</v>
      </c>
      <c r="I85">
        <f t="shared" si="46"/>
        <v>4</v>
      </c>
      <c r="J85">
        <f t="shared" si="46"/>
        <v>4</v>
      </c>
      <c r="K85">
        <f t="shared" si="53"/>
        <v>4</v>
      </c>
      <c r="L85">
        <f t="shared" si="53"/>
        <v>4</v>
      </c>
      <c r="M85">
        <f t="shared" si="54"/>
        <v>5</v>
      </c>
      <c r="N85">
        <f t="shared" si="55"/>
        <v>7</v>
      </c>
      <c r="R85">
        <f t="shared" si="56"/>
        <v>2.4891617747723456</v>
      </c>
      <c r="S85">
        <f t="shared" si="57"/>
        <v>2.1679796102855917</v>
      </c>
      <c r="T85">
        <f t="shared" si="58"/>
        <v>2.674914319150715</v>
      </c>
      <c r="U85">
        <f t="shared" si="59"/>
        <v>2.5077321742037952</v>
      </c>
      <c r="V85">
        <f t="shared" si="60"/>
        <v>2.2290952659589292</v>
      </c>
      <c r="W85">
        <f t="shared" si="61"/>
        <v>2.0897768118364959</v>
      </c>
      <c r="X85">
        <f t="shared" si="62"/>
        <v>1.8807991306528467</v>
      </c>
      <c r="Y85">
        <f t="shared" si="63"/>
        <v>1.5432197995100279</v>
      </c>
      <c r="Z85">
        <f t="shared" ref="Z85:AA85" si="79">$R$2/M37</f>
        <v>1.8047012467477783</v>
      </c>
      <c r="AA85">
        <f t="shared" si="79"/>
        <v>1.6833757294628167</v>
      </c>
      <c r="AC85">
        <f t="shared" si="65"/>
        <v>7.4674853243170372</v>
      </c>
      <c r="AD85">
        <f t="shared" si="66"/>
        <v>6.5039388308567752</v>
      </c>
      <c r="AE85">
        <f t="shared" si="67"/>
        <v>10.69965727660286</v>
      </c>
      <c r="AF85">
        <f t="shared" si="68"/>
        <v>10.030928696815181</v>
      </c>
      <c r="AG85">
        <f t="shared" si="69"/>
        <v>8.9163810638357166</v>
      </c>
      <c r="AH85">
        <f t="shared" si="70"/>
        <v>8.3591072473459835</v>
      </c>
      <c r="AI85">
        <f t="shared" si="71"/>
        <v>7.5231965226113866</v>
      </c>
      <c r="AJ85">
        <f t="shared" si="72"/>
        <v>6.1728791980401114</v>
      </c>
      <c r="AK85">
        <f t="shared" si="73"/>
        <v>9.0235062337388925</v>
      </c>
      <c r="AL85">
        <f t="shared" si="74"/>
        <v>11.783630106239716</v>
      </c>
    </row>
    <row r="86" spans="1:38" x14ac:dyDescent="0.25">
      <c r="A86">
        <f t="shared" si="50"/>
        <v>0.5892857142857143</v>
      </c>
      <c r="B86" s="3">
        <v>99</v>
      </c>
      <c r="C86" s="3">
        <v>168</v>
      </c>
      <c r="E86">
        <f t="shared" si="51"/>
        <v>4</v>
      </c>
      <c r="F86">
        <f t="shared" si="52"/>
        <v>4</v>
      </c>
      <c r="G86">
        <f t="shared" si="46"/>
        <v>5</v>
      </c>
      <c r="H86">
        <f t="shared" si="46"/>
        <v>5</v>
      </c>
      <c r="I86">
        <f t="shared" si="46"/>
        <v>5</v>
      </c>
      <c r="J86">
        <f t="shared" si="46"/>
        <v>5</v>
      </c>
      <c r="K86">
        <f t="shared" si="53"/>
        <v>5</v>
      </c>
      <c r="L86">
        <f t="shared" si="53"/>
        <v>5</v>
      </c>
      <c r="M86">
        <f t="shared" si="54"/>
        <v>6</v>
      </c>
      <c r="N86">
        <f t="shared" si="55"/>
        <v>8</v>
      </c>
      <c r="R86">
        <f t="shared" si="56"/>
        <v>2.7585053916241744</v>
      </c>
      <c r="S86">
        <f t="shared" si="57"/>
        <v>2.402569212059765</v>
      </c>
      <c r="T86">
        <f t="shared" si="58"/>
        <v>2.779239919991578</v>
      </c>
      <c r="U86">
        <f t="shared" si="59"/>
        <v>2.6055374249921046</v>
      </c>
      <c r="V86">
        <f t="shared" si="60"/>
        <v>2.3160332666596486</v>
      </c>
      <c r="W86">
        <f t="shared" si="61"/>
        <v>2.1712811874934208</v>
      </c>
      <c r="X86">
        <f t="shared" si="62"/>
        <v>1.9541530687440787</v>
      </c>
      <c r="Y86">
        <f t="shared" si="63"/>
        <v>1.6034076461489875</v>
      </c>
      <c r="Z86">
        <f t="shared" ref="Z86:AA86" si="80">$R$2/M38</f>
        <v>1.8001854736548615</v>
      </c>
      <c r="AA86">
        <f t="shared" si="80"/>
        <v>1.599388247458212</v>
      </c>
      <c r="AC86">
        <f t="shared" si="65"/>
        <v>11.034021566496698</v>
      </c>
      <c r="AD86">
        <f t="shared" si="66"/>
        <v>9.6102768482390601</v>
      </c>
      <c r="AE86">
        <f t="shared" si="67"/>
        <v>13.896199599957891</v>
      </c>
      <c r="AF86">
        <f t="shared" si="68"/>
        <v>13.027687124960522</v>
      </c>
      <c r="AG86">
        <f t="shared" si="69"/>
        <v>11.580166333298243</v>
      </c>
      <c r="AH86">
        <f t="shared" si="70"/>
        <v>10.856405937467104</v>
      </c>
      <c r="AI86">
        <f t="shared" si="71"/>
        <v>9.7707653437203934</v>
      </c>
      <c r="AJ86">
        <f t="shared" si="72"/>
        <v>8.0170382307449373</v>
      </c>
      <c r="AK86">
        <f t="shared" si="73"/>
        <v>10.801112841929168</v>
      </c>
      <c r="AL86">
        <f t="shared" si="74"/>
        <v>12.795105979665696</v>
      </c>
    </row>
    <row r="87" spans="1:38" x14ac:dyDescent="0.25">
      <c r="A87">
        <f t="shared" si="50"/>
        <v>0.61764705882352944</v>
      </c>
      <c r="B87" s="3">
        <v>105</v>
      </c>
      <c r="C87" s="3">
        <v>170</v>
      </c>
      <c r="E87">
        <f t="shared" si="51"/>
        <v>4</v>
      </c>
      <c r="F87">
        <f t="shared" si="52"/>
        <v>4</v>
      </c>
      <c r="G87">
        <f t="shared" si="46"/>
        <v>5</v>
      </c>
      <c r="H87">
        <f t="shared" si="46"/>
        <v>5</v>
      </c>
      <c r="I87">
        <f t="shared" si="46"/>
        <v>5</v>
      </c>
      <c r="J87">
        <f t="shared" si="46"/>
        <v>5</v>
      </c>
      <c r="K87">
        <f t="shared" si="53"/>
        <v>5</v>
      </c>
      <c r="L87">
        <f t="shared" si="53"/>
        <v>5</v>
      </c>
      <c r="M87">
        <f t="shared" si="54"/>
        <v>6</v>
      </c>
      <c r="N87">
        <f t="shared" si="55"/>
        <v>8</v>
      </c>
      <c r="R87">
        <f t="shared" si="56"/>
        <v>2.8912676831996698</v>
      </c>
      <c r="S87">
        <f t="shared" si="57"/>
        <v>2.5182008853674542</v>
      </c>
      <c r="T87">
        <f t="shared" si="58"/>
        <v>2.9130001300446491</v>
      </c>
      <c r="U87">
        <f t="shared" si="59"/>
        <v>2.7309376219168588</v>
      </c>
      <c r="V87">
        <f t="shared" si="60"/>
        <v>2.4275001083705408</v>
      </c>
      <c r="W87">
        <f t="shared" si="61"/>
        <v>2.2757813515973822</v>
      </c>
      <c r="X87">
        <f t="shared" si="62"/>
        <v>2.0482032164376442</v>
      </c>
      <c r="Y87">
        <f t="shared" si="63"/>
        <v>1.6805769981026819</v>
      </c>
      <c r="Z87">
        <f t="shared" ref="Z87:AA87" si="81">$R$2/M39</f>
        <v>1.8868254162371814</v>
      </c>
      <c r="AA87">
        <f t="shared" si="81"/>
        <v>1.6763641524160935</v>
      </c>
      <c r="AC87">
        <f t="shared" si="65"/>
        <v>11.565070732798679</v>
      </c>
      <c r="AD87">
        <f t="shared" si="66"/>
        <v>10.072803541469817</v>
      </c>
      <c r="AE87">
        <f t="shared" si="67"/>
        <v>14.565000650223245</v>
      </c>
      <c r="AF87">
        <f t="shared" si="68"/>
        <v>13.654688109584294</v>
      </c>
      <c r="AG87">
        <f t="shared" si="69"/>
        <v>12.137500541852704</v>
      </c>
      <c r="AH87">
        <f t="shared" si="70"/>
        <v>11.378906757986911</v>
      </c>
      <c r="AI87">
        <f t="shared" si="71"/>
        <v>10.241016082188221</v>
      </c>
      <c r="AJ87">
        <f t="shared" si="72"/>
        <v>8.4028849905134102</v>
      </c>
      <c r="AK87">
        <f t="shared" si="73"/>
        <v>11.320952497423088</v>
      </c>
      <c r="AL87">
        <f t="shared" si="74"/>
        <v>13.410913219328748</v>
      </c>
    </row>
    <row r="88" spans="1:38" x14ac:dyDescent="0.25">
      <c r="A88">
        <f t="shared" si="50"/>
        <v>1.6716417910447761</v>
      </c>
      <c r="B88" s="3">
        <v>112</v>
      </c>
      <c r="C88" s="3">
        <v>67</v>
      </c>
      <c r="E88">
        <f t="shared" si="51"/>
        <v>2</v>
      </c>
      <c r="F88">
        <f t="shared" si="52"/>
        <v>2</v>
      </c>
      <c r="G88">
        <f t="shared" si="46"/>
        <v>3</v>
      </c>
      <c r="H88">
        <f t="shared" si="46"/>
        <v>3</v>
      </c>
      <c r="I88">
        <f t="shared" si="46"/>
        <v>3</v>
      </c>
      <c r="J88">
        <f t="shared" si="46"/>
        <v>3</v>
      </c>
      <c r="K88">
        <f t="shared" si="53"/>
        <v>3</v>
      </c>
      <c r="L88">
        <f t="shared" si="53"/>
        <v>3</v>
      </c>
      <c r="M88">
        <f t="shared" si="54"/>
        <v>4</v>
      </c>
      <c r="N88">
        <f t="shared" si="55"/>
        <v>6</v>
      </c>
      <c r="R88">
        <f t="shared" si="56"/>
        <v>3.8550401638392078</v>
      </c>
      <c r="S88">
        <f t="shared" si="57"/>
        <v>3.3576156265696318</v>
      </c>
      <c r="T88">
        <f t="shared" si="58"/>
        <v>4.6603052690663143</v>
      </c>
      <c r="U88">
        <f t="shared" si="59"/>
        <v>4.3690361897496688</v>
      </c>
      <c r="V88">
        <f t="shared" si="60"/>
        <v>3.8835877242219285</v>
      </c>
      <c r="W88">
        <f t="shared" si="61"/>
        <v>3.6408634914580578</v>
      </c>
      <c r="X88">
        <f t="shared" si="62"/>
        <v>3.2767771423122518</v>
      </c>
      <c r="Y88">
        <f t="shared" si="63"/>
        <v>2.6886376552305657</v>
      </c>
      <c r="Z88">
        <f t="shared" ref="Z88:AA88" si="82">$R$2/M40</f>
        <v>3.3536239225173143</v>
      </c>
      <c r="AA88">
        <f t="shared" si="82"/>
        <v>3.3512272318242475</v>
      </c>
      <c r="AC88">
        <f t="shared" si="65"/>
        <v>7.7100803276784156</v>
      </c>
      <c r="AD88">
        <f t="shared" si="66"/>
        <v>6.7152312531392635</v>
      </c>
      <c r="AE88">
        <f t="shared" si="67"/>
        <v>13.980915807198944</v>
      </c>
      <c r="AF88">
        <f t="shared" si="68"/>
        <v>13.107108569249007</v>
      </c>
      <c r="AG88">
        <f t="shared" si="69"/>
        <v>11.650763172665785</v>
      </c>
      <c r="AH88">
        <f t="shared" si="70"/>
        <v>10.922590474374173</v>
      </c>
      <c r="AI88">
        <f t="shared" si="71"/>
        <v>9.8303314269367554</v>
      </c>
      <c r="AJ88">
        <f t="shared" si="72"/>
        <v>8.0659129656916981</v>
      </c>
      <c r="AK88">
        <f t="shared" si="73"/>
        <v>13.414495690069257</v>
      </c>
      <c r="AL88">
        <f t="shared" si="74"/>
        <v>20.107363390945487</v>
      </c>
    </row>
    <row r="89" spans="1:38" x14ac:dyDescent="0.25">
      <c r="A89">
        <f t="shared" si="50"/>
        <v>0.78488372093023251</v>
      </c>
      <c r="B89" s="3">
        <v>135</v>
      </c>
      <c r="C89" s="3">
        <v>172</v>
      </c>
      <c r="E89">
        <f t="shared" si="51"/>
        <v>3</v>
      </c>
      <c r="F89">
        <f t="shared" si="52"/>
        <v>3</v>
      </c>
      <c r="G89">
        <f t="shared" si="46"/>
        <v>4</v>
      </c>
      <c r="H89">
        <f t="shared" si="46"/>
        <v>4</v>
      </c>
      <c r="I89">
        <f t="shared" si="46"/>
        <v>4</v>
      </c>
      <c r="J89">
        <f t="shared" si="46"/>
        <v>4</v>
      </c>
      <c r="K89">
        <f t="shared" si="53"/>
        <v>4</v>
      </c>
      <c r="L89">
        <f t="shared" si="53"/>
        <v>4</v>
      </c>
      <c r="M89">
        <f t="shared" si="54"/>
        <v>5</v>
      </c>
      <c r="N89">
        <f t="shared" si="55"/>
        <v>7</v>
      </c>
      <c r="R89">
        <f t="shared" si="56"/>
        <v>2.7351835780928675</v>
      </c>
      <c r="S89">
        <f t="shared" si="57"/>
        <v>2.3822566647905621</v>
      </c>
      <c r="T89">
        <f t="shared" si="58"/>
        <v>2.9392953855784016</v>
      </c>
      <c r="U89">
        <f t="shared" si="59"/>
        <v>2.7555894239797514</v>
      </c>
      <c r="V89">
        <f t="shared" si="60"/>
        <v>2.4494128213153346</v>
      </c>
      <c r="W89">
        <f t="shared" si="61"/>
        <v>2.2963245199831266</v>
      </c>
      <c r="X89">
        <f t="shared" si="62"/>
        <v>2.0666920679848135</v>
      </c>
      <c r="Y89">
        <f t="shared" si="63"/>
        <v>1.6957473378336934</v>
      </c>
      <c r="Z89">
        <f t="shared" ref="Z89:AA89" si="83">$R$2/M41</f>
        <v>1.9830728816007563</v>
      </c>
      <c r="AA89">
        <f t="shared" si="83"/>
        <v>1.8497558887701879</v>
      </c>
      <c r="AC89">
        <f t="shared" si="65"/>
        <v>8.2055507342786029</v>
      </c>
      <c r="AD89">
        <f t="shared" si="66"/>
        <v>7.1467699943716863</v>
      </c>
      <c r="AE89">
        <f t="shared" si="67"/>
        <v>11.757181542313607</v>
      </c>
      <c r="AF89">
        <f t="shared" si="68"/>
        <v>11.022357695919005</v>
      </c>
      <c r="AG89">
        <f t="shared" si="69"/>
        <v>9.7976512852613382</v>
      </c>
      <c r="AH89">
        <f t="shared" si="70"/>
        <v>9.1852980799325064</v>
      </c>
      <c r="AI89">
        <f t="shared" si="71"/>
        <v>8.2667682719392541</v>
      </c>
      <c r="AJ89">
        <f t="shared" si="72"/>
        <v>6.7829893513347734</v>
      </c>
      <c r="AK89">
        <f t="shared" si="73"/>
        <v>9.9153644080037822</v>
      </c>
      <c r="AL89">
        <f t="shared" si="74"/>
        <v>12.948291221391315</v>
      </c>
    </row>
    <row r="90" spans="1:38" x14ac:dyDescent="0.25">
      <c r="A90">
        <f t="shared" si="50"/>
        <v>0.6908212560386473</v>
      </c>
      <c r="B90" s="3">
        <v>143</v>
      </c>
      <c r="C90" s="3">
        <v>207</v>
      </c>
      <c r="E90">
        <f t="shared" si="51"/>
        <v>3</v>
      </c>
      <c r="F90">
        <f t="shared" si="52"/>
        <v>3</v>
      </c>
      <c r="G90">
        <f t="shared" si="46"/>
        <v>4</v>
      </c>
      <c r="H90">
        <f t="shared" si="46"/>
        <v>4</v>
      </c>
      <c r="I90">
        <f t="shared" si="46"/>
        <v>4</v>
      </c>
      <c r="J90">
        <f t="shared" si="46"/>
        <v>4</v>
      </c>
      <c r="K90">
        <f t="shared" si="53"/>
        <v>4</v>
      </c>
      <c r="L90">
        <f t="shared" si="53"/>
        <v>4</v>
      </c>
      <c r="M90">
        <f t="shared" si="54"/>
        <v>5</v>
      </c>
      <c r="N90">
        <f t="shared" si="55"/>
        <v>7</v>
      </c>
      <c r="R90">
        <f t="shared" si="56"/>
        <v>2.4073922092242688</v>
      </c>
      <c r="S90">
        <f t="shared" si="57"/>
        <v>2.0967609564211371</v>
      </c>
      <c r="T90">
        <f t="shared" si="58"/>
        <v>2.5870427376520442</v>
      </c>
      <c r="U90">
        <f t="shared" si="59"/>
        <v>2.4253525665487916</v>
      </c>
      <c r="V90">
        <f t="shared" si="60"/>
        <v>2.1558689480433704</v>
      </c>
      <c r="W90">
        <f t="shared" si="61"/>
        <v>2.0211271387906597</v>
      </c>
      <c r="X90">
        <f t="shared" si="62"/>
        <v>1.8190144249115936</v>
      </c>
      <c r="Y90">
        <f t="shared" si="63"/>
        <v>1.4925246563377177</v>
      </c>
      <c r="Z90">
        <f t="shared" ref="Z90:AA90" si="84">$R$2/M42</f>
        <v>1.7454163748739382</v>
      </c>
      <c r="AA90">
        <f t="shared" si="84"/>
        <v>1.6280764301374682</v>
      </c>
      <c r="AC90">
        <f t="shared" si="65"/>
        <v>7.2221766276728063</v>
      </c>
      <c r="AD90">
        <f t="shared" si="66"/>
        <v>6.290282869263411</v>
      </c>
      <c r="AE90">
        <f t="shared" si="67"/>
        <v>10.348170950608177</v>
      </c>
      <c r="AF90">
        <f t="shared" si="68"/>
        <v>9.7014102661951664</v>
      </c>
      <c r="AG90">
        <f t="shared" si="69"/>
        <v>8.6234757921734815</v>
      </c>
      <c r="AH90">
        <f t="shared" si="70"/>
        <v>8.084508555162639</v>
      </c>
      <c r="AI90">
        <f t="shared" si="71"/>
        <v>7.2760576996463744</v>
      </c>
      <c r="AJ90">
        <f t="shared" si="72"/>
        <v>5.9700986253508708</v>
      </c>
      <c r="AK90">
        <f t="shared" si="73"/>
        <v>8.7270818743696914</v>
      </c>
      <c r="AL90">
        <f t="shared" si="74"/>
        <v>11.396535010962277</v>
      </c>
    </row>
    <row r="91" spans="1:38" x14ac:dyDescent="0.25">
      <c r="A91">
        <f t="shared" si="50"/>
        <v>0.70731707317073167</v>
      </c>
      <c r="B91" s="3">
        <v>145</v>
      </c>
      <c r="C91" s="3">
        <v>205</v>
      </c>
      <c r="E91">
        <f t="shared" si="51"/>
        <v>3</v>
      </c>
      <c r="F91">
        <f t="shared" si="52"/>
        <v>3</v>
      </c>
      <c r="G91">
        <f t="shared" si="46"/>
        <v>4</v>
      </c>
      <c r="H91">
        <f t="shared" si="46"/>
        <v>4</v>
      </c>
      <c r="I91">
        <f t="shared" si="46"/>
        <v>4</v>
      </c>
      <c r="J91">
        <f t="shared" si="46"/>
        <v>4</v>
      </c>
      <c r="K91">
        <f t="shared" si="53"/>
        <v>4</v>
      </c>
      <c r="L91">
        <f t="shared" si="53"/>
        <v>4</v>
      </c>
      <c r="M91">
        <f t="shared" si="54"/>
        <v>5</v>
      </c>
      <c r="N91">
        <f t="shared" si="55"/>
        <v>7</v>
      </c>
      <c r="R91">
        <f t="shared" si="56"/>
        <v>2.4648772696526153</v>
      </c>
      <c r="S91">
        <f t="shared" si="57"/>
        <v>2.1468285896974395</v>
      </c>
      <c r="T91">
        <f t="shared" si="58"/>
        <v>2.6488175940858301</v>
      </c>
      <c r="U91">
        <f t="shared" si="59"/>
        <v>2.4832664944554654</v>
      </c>
      <c r="V91">
        <f t="shared" si="60"/>
        <v>2.2073479950715251</v>
      </c>
      <c r="W91">
        <f t="shared" si="61"/>
        <v>2.0693887453795545</v>
      </c>
      <c r="X91">
        <f t="shared" si="62"/>
        <v>1.8624498708415993</v>
      </c>
      <c r="Y91">
        <f t="shared" si="63"/>
        <v>1.5281639965879792</v>
      </c>
      <c r="Z91">
        <f t="shared" ref="Z91:AA91" si="85">$R$2/M43</f>
        <v>1.7870944053160929</v>
      </c>
      <c r="AA91">
        <f t="shared" si="85"/>
        <v>1.6669525516143988</v>
      </c>
      <c r="AC91">
        <f t="shared" si="65"/>
        <v>7.394631808957846</v>
      </c>
      <c r="AD91">
        <f t="shared" si="66"/>
        <v>6.4404857690923185</v>
      </c>
      <c r="AE91">
        <f t="shared" si="67"/>
        <v>10.59527037634332</v>
      </c>
      <c r="AF91">
        <f t="shared" si="68"/>
        <v>9.9330659778218617</v>
      </c>
      <c r="AG91">
        <f t="shared" si="69"/>
        <v>8.8293919802861005</v>
      </c>
      <c r="AH91">
        <f t="shared" si="70"/>
        <v>8.2775549815182181</v>
      </c>
      <c r="AI91">
        <f t="shared" si="71"/>
        <v>7.4497994833663972</v>
      </c>
      <c r="AJ91">
        <f t="shared" si="72"/>
        <v>6.1126559863519168</v>
      </c>
      <c r="AK91">
        <f t="shared" si="73"/>
        <v>8.9354720265804648</v>
      </c>
      <c r="AL91">
        <f t="shared" si="74"/>
        <v>11.668667861300792</v>
      </c>
    </row>
    <row r="92" spans="1:38" x14ac:dyDescent="0.25">
      <c r="A92">
        <f t="shared" si="50"/>
        <v>0.71470588235294119</v>
      </c>
      <c r="B92" s="3">
        <v>243</v>
      </c>
      <c r="C92" s="3">
        <v>340</v>
      </c>
      <c r="E92">
        <f t="shared" si="51"/>
        <v>3</v>
      </c>
      <c r="F92">
        <f t="shared" si="52"/>
        <v>3</v>
      </c>
      <c r="G92">
        <f t="shared" si="46"/>
        <v>4</v>
      </c>
      <c r="H92">
        <f t="shared" si="46"/>
        <v>4</v>
      </c>
      <c r="I92">
        <f t="shared" si="46"/>
        <v>4</v>
      </c>
      <c r="J92">
        <f t="shared" si="46"/>
        <v>4</v>
      </c>
      <c r="K92">
        <f t="shared" si="53"/>
        <v>4</v>
      </c>
      <c r="L92">
        <f t="shared" si="53"/>
        <v>4</v>
      </c>
      <c r="M92">
        <f t="shared" si="54"/>
        <v>5</v>
      </c>
      <c r="N92">
        <f t="shared" si="55"/>
        <v>7</v>
      </c>
      <c r="R92">
        <f t="shared" si="56"/>
        <v>2.4906259875810348</v>
      </c>
      <c r="S92">
        <f t="shared" si="57"/>
        <v>2.1692548924092883</v>
      </c>
      <c r="T92">
        <f t="shared" si="58"/>
        <v>2.6764877981619795</v>
      </c>
      <c r="U92">
        <f t="shared" si="59"/>
        <v>2.5092073107768562</v>
      </c>
      <c r="V92">
        <f t="shared" si="60"/>
        <v>2.2304064984683163</v>
      </c>
      <c r="W92">
        <f t="shared" si="61"/>
        <v>2.0910060923140468</v>
      </c>
      <c r="X92">
        <f t="shared" si="62"/>
        <v>1.881905483082642</v>
      </c>
      <c r="Y92">
        <f t="shared" si="63"/>
        <v>1.5441275758626807</v>
      </c>
      <c r="Z92">
        <f t="shared" ref="Z92:AA92" si="86">$R$2/M44</f>
        <v>1.8057628357164532</v>
      </c>
      <c r="AA92">
        <f t="shared" si="86"/>
        <v>1.6843659504801474</v>
      </c>
      <c r="AC92">
        <f t="shared" si="65"/>
        <v>7.471877962743104</v>
      </c>
      <c r="AD92">
        <f t="shared" si="66"/>
        <v>6.5077646772278648</v>
      </c>
      <c r="AE92">
        <f t="shared" si="67"/>
        <v>10.705951192647918</v>
      </c>
      <c r="AF92">
        <f t="shared" si="68"/>
        <v>10.036829243107425</v>
      </c>
      <c r="AG92">
        <f t="shared" si="69"/>
        <v>8.9216259938732652</v>
      </c>
      <c r="AH92">
        <f t="shared" si="70"/>
        <v>8.3640243692561871</v>
      </c>
      <c r="AI92">
        <f t="shared" si="71"/>
        <v>7.5276219323305682</v>
      </c>
      <c r="AJ92">
        <f t="shared" si="72"/>
        <v>6.1765103034507227</v>
      </c>
      <c r="AK92">
        <f t="shared" si="73"/>
        <v>9.028814178582266</v>
      </c>
      <c r="AL92">
        <f t="shared" si="74"/>
        <v>11.790561653361031</v>
      </c>
    </row>
    <row r="93" spans="1:38" x14ac:dyDescent="0.25">
      <c r="A93">
        <f t="shared" si="50"/>
        <v>1.1222707423580787</v>
      </c>
      <c r="B93" s="3">
        <v>257</v>
      </c>
      <c r="C93" s="3">
        <v>229</v>
      </c>
      <c r="E93">
        <f t="shared" si="51"/>
        <v>2</v>
      </c>
      <c r="F93">
        <f t="shared" si="52"/>
        <v>2</v>
      </c>
      <c r="G93">
        <f t="shared" si="46"/>
        <v>3</v>
      </c>
      <c r="H93">
        <f t="shared" si="46"/>
        <v>3</v>
      </c>
      <c r="I93">
        <f t="shared" si="46"/>
        <v>3</v>
      </c>
      <c r="J93">
        <f t="shared" si="46"/>
        <v>3</v>
      </c>
      <c r="K93">
        <f t="shared" si="53"/>
        <v>3</v>
      </c>
      <c r="L93">
        <f t="shared" si="53"/>
        <v>3</v>
      </c>
      <c r="M93">
        <f t="shared" si="54"/>
        <v>4</v>
      </c>
      <c r="N93">
        <f t="shared" si="55"/>
        <v>6</v>
      </c>
      <c r="R93">
        <f t="shared" si="56"/>
        <v>2.5881135597764855</v>
      </c>
      <c r="S93">
        <f t="shared" si="57"/>
        <v>2.2541634230311325</v>
      </c>
      <c r="T93">
        <f t="shared" si="58"/>
        <v>3.128735044761886</v>
      </c>
      <c r="U93">
        <f t="shared" si="59"/>
        <v>2.9331891044642679</v>
      </c>
      <c r="V93">
        <f t="shared" si="60"/>
        <v>2.607279203968238</v>
      </c>
      <c r="W93">
        <f t="shared" si="61"/>
        <v>2.444324253720223</v>
      </c>
      <c r="X93">
        <f t="shared" si="62"/>
        <v>2.1998918283482016</v>
      </c>
      <c r="Y93">
        <f t="shared" si="63"/>
        <v>1.8050394489010881</v>
      </c>
      <c r="Z93">
        <f t="shared" ref="Z93:AA93" si="87">$R$2/M45</f>
        <v>2.2514835590231455</v>
      </c>
      <c r="AA93">
        <f t="shared" si="87"/>
        <v>2.2498745206168786</v>
      </c>
      <c r="AC93">
        <f t="shared" si="65"/>
        <v>5.176227119552971</v>
      </c>
      <c r="AD93">
        <f t="shared" si="66"/>
        <v>4.508326846062265</v>
      </c>
      <c r="AE93">
        <f t="shared" si="67"/>
        <v>9.3862051342856585</v>
      </c>
      <c r="AF93">
        <f t="shared" si="68"/>
        <v>8.799567313392803</v>
      </c>
      <c r="AG93">
        <f t="shared" si="69"/>
        <v>7.8218376119047139</v>
      </c>
      <c r="AH93">
        <f t="shared" si="70"/>
        <v>7.3329727611606685</v>
      </c>
      <c r="AI93">
        <f t="shared" si="71"/>
        <v>6.5996754850446049</v>
      </c>
      <c r="AJ93">
        <f t="shared" si="72"/>
        <v>5.4151183467032649</v>
      </c>
      <c r="AK93">
        <f t="shared" si="73"/>
        <v>9.0059342360925818</v>
      </c>
      <c r="AL93">
        <f t="shared" si="74"/>
        <v>13.499247123701272</v>
      </c>
    </row>
    <row r="94" spans="1:38" x14ac:dyDescent="0.25">
      <c r="A94">
        <f t="shared" si="50"/>
        <v>0.85550458715596334</v>
      </c>
      <c r="B94" s="3">
        <v>373</v>
      </c>
      <c r="C94" s="3">
        <v>436</v>
      </c>
      <c r="E94">
        <f t="shared" si="51"/>
        <v>3</v>
      </c>
      <c r="F94">
        <f t="shared" si="52"/>
        <v>3</v>
      </c>
      <c r="G94">
        <f t="shared" si="46"/>
        <v>4</v>
      </c>
      <c r="H94">
        <f t="shared" si="46"/>
        <v>4</v>
      </c>
      <c r="I94">
        <f t="shared" si="46"/>
        <v>4</v>
      </c>
      <c r="J94">
        <f t="shared" si="46"/>
        <v>4</v>
      </c>
      <c r="K94">
        <f t="shared" si="53"/>
        <v>4</v>
      </c>
      <c r="L94">
        <f t="shared" si="53"/>
        <v>4</v>
      </c>
      <c r="M94">
        <f t="shared" si="54"/>
        <v>5</v>
      </c>
      <c r="N94">
        <f t="shared" si="55"/>
        <v>7</v>
      </c>
      <c r="R94">
        <f t="shared" si="56"/>
        <v>2.9812850430874285</v>
      </c>
      <c r="S94">
        <f t="shared" si="57"/>
        <v>2.5966031020438898</v>
      </c>
      <c r="T94">
        <f t="shared" si="58"/>
        <v>3.2037620583956499</v>
      </c>
      <c r="U94">
        <f t="shared" si="59"/>
        <v>3.0035269297459224</v>
      </c>
      <c r="V94">
        <f t="shared" si="60"/>
        <v>2.6698017153297084</v>
      </c>
      <c r="W94">
        <f t="shared" si="61"/>
        <v>2.5029391081216015</v>
      </c>
      <c r="X94">
        <f t="shared" si="62"/>
        <v>2.2526451973094415</v>
      </c>
      <c r="Y94">
        <f t="shared" si="63"/>
        <v>1.848324264459029</v>
      </c>
      <c r="Z94">
        <f t="shared" ref="Z94:AA94" si="88">$R$2/M46</f>
        <v>2.1615022730543347</v>
      </c>
      <c r="AA94">
        <f t="shared" si="88"/>
        <v>2.0161899218474377</v>
      </c>
      <c r="AC94">
        <f t="shared" si="65"/>
        <v>8.9438551292622854</v>
      </c>
      <c r="AD94">
        <f t="shared" si="66"/>
        <v>7.7898093061316693</v>
      </c>
      <c r="AE94">
        <f t="shared" si="67"/>
        <v>12.815048233582599</v>
      </c>
      <c r="AF94">
        <f t="shared" si="68"/>
        <v>12.01410771898369</v>
      </c>
      <c r="AG94">
        <f t="shared" si="69"/>
        <v>10.679206861318834</v>
      </c>
      <c r="AH94">
        <f t="shared" si="70"/>
        <v>10.011756432486406</v>
      </c>
      <c r="AI94">
        <f t="shared" si="71"/>
        <v>9.0105807892377658</v>
      </c>
      <c r="AJ94">
        <f t="shared" si="72"/>
        <v>7.3932970578361159</v>
      </c>
      <c r="AK94">
        <f t="shared" si="73"/>
        <v>10.807511365271674</v>
      </c>
      <c r="AL94">
        <f t="shared" si="74"/>
        <v>14.113329452932064</v>
      </c>
    </row>
    <row r="95" spans="1:38" x14ac:dyDescent="0.25">
      <c r="A95">
        <f t="shared" si="50"/>
        <v>0.52222222222222225</v>
      </c>
      <c r="B95" s="3">
        <v>752</v>
      </c>
      <c r="C95" s="3">
        <v>1440</v>
      </c>
      <c r="E95">
        <f t="shared" si="51"/>
        <v>4</v>
      </c>
      <c r="F95">
        <f t="shared" si="52"/>
        <v>4</v>
      </c>
      <c r="G95">
        <f t="shared" ref="G95:J95" si="89">IF($A95&gt;1, 3, IF($A95&lt;0.666, 5, 4))</f>
        <v>5</v>
      </c>
      <c r="H95">
        <f t="shared" si="89"/>
        <v>5</v>
      </c>
      <c r="I95">
        <f t="shared" si="89"/>
        <v>5</v>
      </c>
      <c r="J95">
        <f t="shared" si="89"/>
        <v>5</v>
      </c>
      <c r="K95">
        <f t="shared" si="53"/>
        <v>5</v>
      </c>
      <c r="L95">
        <f t="shared" si="53"/>
        <v>5</v>
      </c>
      <c r="M95">
        <f t="shared" si="54"/>
        <v>6</v>
      </c>
      <c r="N95">
        <f t="shared" si="55"/>
        <v>8</v>
      </c>
      <c r="R95">
        <f t="shared" si="56"/>
        <v>2.4445744750016254</v>
      </c>
      <c r="S95">
        <f t="shared" si="57"/>
        <v>2.1291455104852868</v>
      </c>
      <c r="T95">
        <f t="shared" si="58"/>
        <v>2.4629493163023009</v>
      </c>
      <c r="U95">
        <f t="shared" si="59"/>
        <v>2.3090149840334071</v>
      </c>
      <c r="V95">
        <f t="shared" si="60"/>
        <v>2.0524577635852506</v>
      </c>
      <c r="W95">
        <f t="shared" si="61"/>
        <v>1.9241791533611727</v>
      </c>
      <c r="X95">
        <f t="shared" si="62"/>
        <v>1.7317612380250555</v>
      </c>
      <c r="Y95">
        <f t="shared" si="63"/>
        <v>1.420932297866712</v>
      </c>
      <c r="Z95">
        <f t="shared" ref="Z95:AA95" si="90">$R$2/M47</f>
        <v>1.5953158810301664</v>
      </c>
      <c r="AA95">
        <f t="shared" si="90"/>
        <v>1.417370325693607</v>
      </c>
      <c r="AC95">
        <f t="shared" si="65"/>
        <v>9.7782979000065016</v>
      </c>
      <c r="AD95">
        <f t="shared" si="66"/>
        <v>8.5165820419411471</v>
      </c>
      <c r="AE95">
        <f t="shared" si="67"/>
        <v>12.314746581511503</v>
      </c>
      <c r="AF95">
        <f t="shared" si="68"/>
        <v>11.545074920167036</v>
      </c>
      <c r="AG95">
        <f t="shared" si="69"/>
        <v>10.262288817926253</v>
      </c>
      <c r="AH95">
        <f t="shared" si="70"/>
        <v>9.6208957668058641</v>
      </c>
      <c r="AI95">
        <f t="shared" si="71"/>
        <v>8.6588061901252775</v>
      </c>
      <c r="AJ95">
        <f t="shared" si="72"/>
        <v>7.1046614893335605</v>
      </c>
      <c r="AK95">
        <f t="shared" si="73"/>
        <v>9.5718952861809985</v>
      </c>
      <c r="AL95">
        <f t="shared" si="74"/>
        <v>11.338962605548856</v>
      </c>
    </row>
    <row r="101" spans="1:26" x14ac:dyDescent="0.25">
      <c r="A101" s="6" t="s">
        <v>33</v>
      </c>
      <c r="E101" s="1" t="s">
        <v>31</v>
      </c>
      <c r="G101" s="2"/>
      <c r="H101" s="2"/>
      <c r="I101" s="2"/>
      <c r="J101" s="2"/>
      <c r="K101" s="2"/>
      <c r="P101" s="2"/>
      <c r="Q101" s="2"/>
    </row>
    <row r="102" spans="1:26" x14ac:dyDescent="0.25">
      <c r="E102" s="1" t="s">
        <v>3</v>
      </c>
      <c r="G102" s="2"/>
      <c r="H102" s="2"/>
      <c r="I102" s="2"/>
      <c r="J102" s="2"/>
      <c r="K102" s="2"/>
      <c r="P102" s="2"/>
      <c r="Q102" s="2"/>
    </row>
    <row r="103" spans="1:26" x14ac:dyDescent="0.25">
      <c r="E103" s="3">
        <v>1</v>
      </c>
      <c r="F103" s="3">
        <v>8</v>
      </c>
      <c r="G103" s="3">
        <v>5</v>
      </c>
      <c r="H103" s="3">
        <v>4</v>
      </c>
      <c r="I103" s="3">
        <v>3</v>
      </c>
      <c r="J103" s="3">
        <v>16</v>
      </c>
      <c r="K103" s="3">
        <v>16</v>
      </c>
      <c r="L103" s="3">
        <v>19.5</v>
      </c>
      <c r="M103" s="3">
        <v>21</v>
      </c>
      <c r="N103" s="3">
        <v>32</v>
      </c>
      <c r="O103" s="3"/>
      <c r="Q103" s="3">
        <v>1</v>
      </c>
      <c r="R103" s="3">
        <v>8</v>
      </c>
      <c r="S103" s="3">
        <v>5</v>
      </c>
      <c r="T103" s="3">
        <v>4</v>
      </c>
      <c r="U103" s="3">
        <v>3</v>
      </c>
      <c r="V103" s="3">
        <v>16</v>
      </c>
      <c r="W103" s="3">
        <v>16</v>
      </c>
      <c r="X103" s="3">
        <v>19.5</v>
      </c>
      <c r="Y103" s="3">
        <v>21</v>
      </c>
      <c r="Z103" s="3">
        <v>32</v>
      </c>
    </row>
    <row r="104" spans="1:26" x14ac:dyDescent="0.25">
      <c r="E104" s="3">
        <v>1</v>
      </c>
      <c r="F104" s="3">
        <v>7</v>
      </c>
      <c r="G104" s="3">
        <v>4</v>
      </c>
      <c r="H104" s="3">
        <v>3</v>
      </c>
      <c r="I104" s="3">
        <v>2</v>
      </c>
      <c r="J104" s="3">
        <v>10</v>
      </c>
      <c r="K104" s="3">
        <v>9</v>
      </c>
      <c r="L104" s="3">
        <v>9</v>
      </c>
      <c r="M104" s="3">
        <v>9</v>
      </c>
      <c r="N104" s="3">
        <v>9</v>
      </c>
      <c r="O104" s="3"/>
      <c r="Q104" s="3">
        <v>1</v>
      </c>
      <c r="R104" s="3">
        <v>7</v>
      </c>
      <c r="S104" s="3">
        <v>4</v>
      </c>
      <c r="T104" s="3">
        <v>3</v>
      </c>
      <c r="U104" s="3">
        <v>2</v>
      </c>
      <c r="V104" s="3">
        <v>10</v>
      </c>
      <c r="W104" s="3">
        <v>9</v>
      </c>
      <c r="X104" s="3">
        <v>9</v>
      </c>
      <c r="Y104" s="3">
        <v>9</v>
      </c>
      <c r="Z104" s="3">
        <v>9</v>
      </c>
    </row>
    <row r="105" spans="1:26" x14ac:dyDescent="0.25">
      <c r="D105" s="3" t="s">
        <v>0</v>
      </c>
      <c r="E105" s="3">
        <v>720</v>
      </c>
      <c r="F105">
        <v>1240</v>
      </c>
      <c r="G105" s="3">
        <v>900</v>
      </c>
      <c r="H105" s="3">
        <v>960</v>
      </c>
      <c r="I105" s="3">
        <v>1080</v>
      </c>
      <c r="J105" s="3">
        <v>1152</v>
      </c>
      <c r="K105" s="3">
        <v>1280</v>
      </c>
      <c r="L105" s="3">
        <v>1560</v>
      </c>
      <c r="M105" s="3">
        <v>1680</v>
      </c>
      <c r="N105">
        <v>2560</v>
      </c>
    </row>
    <row r="106" spans="1:26" x14ac:dyDescent="0.25">
      <c r="B106" s="2" t="s">
        <v>0</v>
      </c>
      <c r="C106" s="2" t="s">
        <v>1</v>
      </c>
      <c r="D106" s="3" t="s">
        <v>1</v>
      </c>
      <c r="E106" s="3">
        <v>720</v>
      </c>
      <c r="F106" s="3">
        <v>1080</v>
      </c>
      <c r="G106" s="3">
        <v>720</v>
      </c>
      <c r="H106" s="3">
        <v>720</v>
      </c>
      <c r="I106" s="3">
        <v>720</v>
      </c>
      <c r="J106" s="3">
        <v>720</v>
      </c>
      <c r="K106" s="3">
        <v>720</v>
      </c>
      <c r="L106" s="3">
        <v>720</v>
      </c>
      <c r="M106" s="3">
        <v>720</v>
      </c>
      <c r="N106" s="3">
        <v>720</v>
      </c>
      <c r="O106" s="3"/>
      <c r="Q106" s="5" t="str">
        <f>Q6</f>
        <v>752-1440</v>
      </c>
      <c r="S106" t="s">
        <v>16</v>
      </c>
    </row>
    <row r="107" spans="1:26" x14ac:dyDescent="0.25">
      <c r="A107">
        <f>B107/C107</f>
        <v>1</v>
      </c>
      <c r="B107" s="3">
        <v>1</v>
      </c>
      <c r="C107" s="3">
        <v>1</v>
      </c>
      <c r="E107">
        <f>($R$1-((E179-1)*$L$1))/(E179)-$U$1</f>
        <v>0.1709</v>
      </c>
      <c r="F107">
        <f t="shared" ref="F107:N107" si="91">($R$1-((F179-1)*$L$1))/(F179)-$U$1</f>
        <v>0.1709</v>
      </c>
      <c r="G107">
        <f t="shared" si="91"/>
        <v>0.13569999999999999</v>
      </c>
      <c r="H107">
        <f t="shared" si="91"/>
        <v>0.13569999999999999</v>
      </c>
      <c r="I107">
        <f t="shared" si="91"/>
        <v>0.13569999999999999</v>
      </c>
      <c r="J107">
        <f t="shared" si="91"/>
        <v>0.13569999999999999</v>
      </c>
      <c r="K107">
        <f t="shared" si="91"/>
        <v>0.13569999999999999</v>
      </c>
      <c r="L107">
        <f t="shared" si="91"/>
        <v>0.13569999999999999</v>
      </c>
      <c r="M107">
        <f t="shared" si="91"/>
        <v>0.11223333333333332</v>
      </c>
      <c r="N107">
        <f t="shared" si="91"/>
        <v>8.2899999999999988E-2</v>
      </c>
      <c r="Q107" t="str">
        <f t="shared" ref="Q107:Z107" ca="1" si="92">"&lt;gridItemSize&gt;"&amp;ROUNDDOWN((OFFSET(E$107,(MATCH($Q$106,$AG$3:$AG$19,0)-1),0)),5)&amp;" "&amp;ROUNDDOWN((OFFSET(E$131,(MATCH($Q$106,$AG$3:$AG$19,0)-1),0)),5)&amp;"&lt;/gridItemSize&gt;"</f>
        <v>&lt;gridItemSize&gt;0.1357 0.25985&lt;/gridItemSize&gt;</v>
      </c>
      <c r="R107" t="str">
        <f t="shared" ca="1" si="92"/>
        <v>&lt;gridItemSize&gt;0.1357 0.29834&lt;/gridItemSize&gt;</v>
      </c>
      <c r="S107" t="str">
        <f t="shared" ca="1" si="92"/>
        <v>&lt;gridItemSize&gt;0.11223 0.26864&lt;/gridItemSize&gt;</v>
      </c>
      <c r="T107" t="str">
        <f t="shared" ca="1" si="92"/>
        <v>&lt;gridItemSize&gt;0.11223 0.28655&lt;/gridItemSize&gt;</v>
      </c>
      <c r="U107" t="str">
        <f t="shared" ca="1" si="92"/>
        <v>&lt;gridItemSize&gt;0.11223 0.32237&lt;/gridItemSize&gt;</v>
      </c>
      <c r="V107" t="str">
        <f t="shared" ca="1" si="92"/>
        <v>&lt;gridItemSize&gt;0.11223 0.34386&lt;/gridItemSize&gt;</v>
      </c>
      <c r="W107" t="str">
        <f t="shared" ca="1" si="92"/>
        <v>&lt;gridItemSize&gt;0.11223 0.38207&lt;/gridItemSize&gt;</v>
      </c>
      <c r="X107" t="str">
        <f t="shared" ca="1" si="92"/>
        <v>&lt;gridItemSize&gt;0.11223 0.46564&lt;/gridItemSize&gt;</v>
      </c>
      <c r="Y107" t="str">
        <f t="shared" ca="1" si="92"/>
        <v>&lt;gridItemSize&gt;0.09547 0.42657&lt;/gridItemSize&gt;</v>
      </c>
      <c r="Z107" t="str">
        <f t="shared" ca="1" si="92"/>
        <v>&lt;gridItemSize&gt;0.07312 0.49785&lt;/gridItemSize&gt;</v>
      </c>
    </row>
    <row r="108" spans="1:26" x14ac:dyDescent="0.25">
      <c r="A108">
        <f t="shared" ref="A108:A123" si="93">B108/C108</f>
        <v>0.5</v>
      </c>
      <c r="B108" s="3">
        <v>1</v>
      </c>
      <c r="C108" s="3">
        <v>2</v>
      </c>
      <c r="E108">
        <f t="shared" ref="E108:N108" si="94">($R$1-((E180-1)*$L$1))/(E180)-$U$1</f>
        <v>0.13569999999999999</v>
      </c>
      <c r="F108">
        <f t="shared" si="94"/>
        <v>0.13569999999999999</v>
      </c>
      <c r="G108">
        <f t="shared" si="94"/>
        <v>0.11223333333333332</v>
      </c>
      <c r="H108">
        <f t="shared" si="94"/>
        <v>0.11223333333333332</v>
      </c>
      <c r="I108">
        <f t="shared" si="94"/>
        <v>0.11223333333333332</v>
      </c>
      <c r="J108">
        <f t="shared" si="94"/>
        <v>0.11223333333333332</v>
      </c>
      <c r="K108">
        <f t="shared" si="94"/>
        <v>0.11223333333333332</v>
      </c>
      <c r="L108">
        <f t="shared" si="94"/>
        <v>0.11223333333333332</v>
      </c>
      <c r="M108">
        <f t="shared" si="94"/>
        <v>9.5471428571428554E-2</v>
      </c>
      <c r="N108">
        <f t="shared" si="94"/>
        <v>7.3122222222222213E-2</v>
      </c>
      <c r="Q108" t="str">
        <f t="shared" ref="Q108:Z108" ca="1" si="95">"&lt;gridItemSpacing&gt;"&amp;$L$1&amp;" "&amp;ROUNDDOWN((OFFSET(E$155,(MATCH($Q$106,$AG$3:$AG$19,0)-1),0)),5)&amp;"&lt;/gridItemSpacing&gt;"</f>
        <v>&lt;gridItemSpacing&gt;0.005 0.005&lt;/gridItemSpacing&gt;</v>
      </c>
      <c r="R108" t="str">
        <f t="shared" ca="1" si="95"/>
        <v>&lt;gridItemSpacing&gt;0.005 0.00574&lt;/gridItemSpacing&gt;</v>
      </c>
      <c r="S108" t="str">
        <f t="shared" ca="1" si="95"/>
        <v>&lt;gridItemSpacing&gt;0.005 0.00625&lt;/gridItemSpacing&gt;</v>
      </c>
      <c r="T108" t="str">
        <f t="shared" ca="1" si="95"/>
        <v>&lt;gridItemSpacing&gt;0.005 0.00666&lt;/gridItemSpacing&gt;</v>
      </c>
      <c r="U108" t="str">
        <f t="shared" ca="1" si="95"/>
        <v>&lt;gridItemSpacing&gt;0.005 0.0075&lt;/gridItemSpacing&gt;</v>
      </c>
      <c r="V108" t="str">
        <f t="shared" ca="1" si="95"/>
        <v>&lt;gridItemSpacing&gt;0.005 0.008&lt;/gridItemSpacing&gt;</v>
      </c>
      <c r="W108" t="str">
        <f t="shared" ca="1" si="95"/>
        <v>&lt;gridItemSpacing&gt;0.005 0.00888&lt;/gridItemSpacing&gt;</v>
      </c>
      <c r="X108" t="str">
        <f t="shared" ca="1" si="95"/>
        <v>&lt;gridItemSpacing&gt;0.005 0.01083&lt;/gridItemSpacing&gt;</v>
      </c>
      <c r="Y108" t="str">
        <f t="shared" ca="1" si="95"/>
        <v>&lt;gridItemSpacing&gt;0.005 0.01166&lt;/gridItemSpacing&gt;</v>
      </c>
      <c r="Z108" t="str">
        <f t="shared" ca="1" si="95"/>
        <v>&lt;gridItemSpacing&gt;0.005 0.01777&lt;/gridItemSpacing&gt;</v>
      </c>
    </row>
    <row r="109" spans="1:26" x14ac:dyDescent="0.25">
      <c r="A109">
        <f t="shared" si="93"/>
        <v>0.66666666666666663</v>
      </c>
      <c r="B109" s="3">
        <v>2</v>
      </c>
      <c r="C109" s="3">
        <v>3</v>
      </c>
      <c r="E109">
        <f t="shared" ref="E109:N109" si="96">($R$1-((E181-1)*$L$1))/(E181)-$U$1</f>
        <v>0.1709</v>
      </c>
      <c r="F109">
        <f t="shared" si="96"/>
        <v>0.1709</v>
      </c>
      <c r="G109">
        <f t="shared" si="96"/>
        <v>0.13569999999999999</v>
      </c>
      <c r="H109">
        <f t="shared" si="96"/>
        <v>0.13569999999999999</v>
      </c>
      <c r="I109">
        <f t="shared" si="96"/>
        <v>0.13569999999999999</v>
      </c>
      <c r="J109">
        <f t="shared" si="96"/>
        <v>0.13569999999999999</v>
      </c>
      <c r="K109">
        <f t="shared" si="96"/>
        <v>0.13569999999999999</v>
      </c>
      <c r="L109">
        <f t="shared" si="96"/>
        <v>0.13569999999999999</v>
      </c>
      <c r="M109">
        <f t="shared" si="96"/>
        <v>0.11223333333333332</v>
      </c>
      <c r="N109">
        <f t="shared" si="96"/>
        <v>8.2899999999999988E-2</v>
      </c>
    </row>
    <row r="110" spans="1:26" x14ac:dyDescent="0.25">
      <c r="A110">
        <f t="shared" si="93"/>
        <v>0.75</v>
      </c>
      <c r="B110" s="3">
        <v>3</v>
      </c>
      <c r="C110" s="3">
        <v>4</v>
      </c>
      <c r="E110">
        <f t="shared" ref="E110:N110" si="97">($R$1-((E182-1)*$L$1))/(E182)-$U$1</f>
        <v>0.1709</v>
      </c>
      <c r="F110">
        <f t="shared" si="97"/>
        <v>0.1709</v>
      </c>
      <c r="G110">
        <f t="shared" si="97"/>
        <v>0.13569999999999999</v>
      </c>
      <c r="H110">
        <f t="shared" si="97"/>
        <v>0.13569999999999999</v>
      </c>
      <c r="I110">
        <f t="shared" si="97"/>
        <v>0.13569999999999999</v>
      </c>
      <c r="J110">
        <f t="shared" si="97"/>
        <v>0.13569999999999999</v>
      </c>
      <c r="K110">
        <f t="shared" si="97"/>
        <v>0.13569999999999999</v>
      </c>
      <c r="L110">
        <f t="shared" si="97"/>
        <v>0.13569999999999999</v>
      </c>
      <c r="M110">
        <f t="shared" si="97"/>
        <v>0.11223333333333332</v>
      </c>
      <c r="N110">
        <f t="shared" si="97"/>
        <v>8.2899999999999988E-2</v>
      </c>
    </row>
    <row r="111" spans="1:26" x14ac:dyDescent="0.25">
      <c r="A111">
        <f t="shared" si="93"/>
        <v>0.6</v>
      </c>
      <c r="B111" s="3">
        <v>3</v>
      </c>
      <c r="C111" s="3">
        <v>5</v>
      </c>
      <c r="E111">
        <f t="shared" ref="E111:N111" si="98">($R$1-((E183-1)*$L$1))/(E183)-$U$1</f>
        <v>0.13569999999999999</v>
      </c>
      <c r="F111">
        <f t="shared" si="98"/>
        <v>0.13569999999999999</v>
      </c>
      <c r="G111">
        <f t="shared" si="98"/>
        <v>0.11223333333333332</v>
      </c>
      <c r="H111">
        <f t="shared" si="98"/>
        <v>0.11223333333333332</v>
      </c>
      <c r="I111">
        <f t="shared" si="98"/>
        <v>0.11223333333333332</v>
      </c>
      <c r="J111">
        <f t="shared" si="98"/>
        <v>0.11223333333333332</v>
      </c>
      <c r="K111">
        <f t="shared" si="98"/>
        <v>0.11223333333333332</v>
      </c>
      <c r="L111">
        <f t="shared" si="98"/>
        <v>0.11223333333333332</v>
      </c>
      <c r="M111">
        <f t="shared" si="98"/>
        <v>9.5471428571428554E-2</v>
      </c>
      <c r="N111">
        <f t="shared" si="98"/>
        <v>7.3122222222222213E-2</v>
      </c>
      <c r="Q111" s="4"/>
      <c r="R111" s="4"/>
      <c r="S111" s="4"/>
      <c r="T111" s="4"/>
      <c r="U111" s="4"/>
      <c r="V111" s="4"/>
      <c r="W111" s="4"/>
      <c r="X111" s="4"/>
    </row>
    <row r="112" spans="1:26" x14ac:dyDescent="0.25">
      <c r="A112">
        <f t="shared" si="93"/>
        <v>1.3333333333333333</v>
      </c>
      <c r="B112" s="3">
        <v>4</v>
      </c>
      <c r="C112" s="3">
        <v>3</v>
      </c>
      <c r="E112">
        <f t="shared" ref="E112:N112" si="99">($R$1-((E184-1)*$L$1))/(E184)-$U$1</f>
        <v>0.22956666666666667</v>
      </c>
      <c r="F112">
        <f t="shared" si="99"/>
        <v>0.22956666666666667</v>
      </c>
      <c r="G112">
        <f t="shared" si="99"/>
        <v>0.1709</v>
      </c>
      <c r="H112">
        <f t="shared" si="99"/>
        <v>0.1709</v>
      </c>
      <c r="I112">
        <f t="shared" si="99"/>
        <v>0.1709</v>
      </c>
      <c r="J112">
        <f t="shared" si="99"/>
        <v>0.1709</v>
      </c>
      <c r="K112">
        <f t="shared" si="99"/>
        <v>0.1709</v>
      </c>
      <c r="L112">
        <f t="shared" si="99"/>
        <v>0.1709</v>
      </c>
      <c r="M112">
        <f t="shared" si="99"/>
        <v>0.13569999999999999</v>
      </c>
      <c r="N112">
        <f t="shared" si="99"/>
        <v>9.5471428571428554E-2</v>
      </c>
    </row>
    <row r="113" spans="1:25" x14ac:dyDescent="0.25">
      <c r="A113">
        <f t="shared" si="93"/>
        <v>0.7142857142857143</v>
      </c>
      <c r="B113" s="3">
        <v>5</v>
      </c>
      <c r="C113" s="3">
        <v>7</v>
      </c>
      <c r="E113">
        <f t="shared" ref="E113:N113" si="100">($R$1-((E185-1)*$L$1))/(E185)-$U$1</f>
        <v>0.1709</v>
      </c>
      <c r="F113">
        <f t="shared" si="100"/>
        <v>0.1709</v>
      </c>
      <c r="G113">
        <f t="shared" si="100"/>
        <v>0.13569999999999999</v>
      </c>
      <c r="H113">
        <f t="shared" si="100"/>
        <v>0.13569999999999999</v>
      </c>
      <c r="I113">
        <f t="shared" si="100"/>
        <v>0.13569999999999999</v>
      </c>
      <c r="J113">
        <f t="shared" si="100"/>
        <v>0.13569999999999999</v>
      </c>
      <c r="K113">
        <f t="shared" si="100"/>
        <v>0.13569999999999999</v>
      </c>
      <c r="L113">
        <f t="shared" si="100"/>
        <v>0.13569999999999999</v>
      </c>
      <c r="M113">
        <f t="shared" si="100"/>
        <v>0.11223333333333332</v>
      </c>
      <c r="N113">
        <f t="shared" si="100"/>
        <v>8.2899999999999988E-2</v>
      </c>
    </row>
    <row r="114" spans="1:25" x14ac:dyDescent="0.25">
      <c r="A114">
        <f t="shared" si="93"/>
        <v>0.5892857142857143</v>
      </c>
      <c r="B114" s="3">
        <v>99</v>
      </c>
      <c r="C114" s="3">
        <v>168</v>
      </c>
      <c r="E114">
        <f t="shared" ref="E114:N114" si="101">($R$1-((E186-1)*$L$1))/(E186)-$U$1</f>
        <v>0.13569999999999999</v>
      </c>
      <c r="F114">
        <f t="shared" si="101"/>
        <v>0.13569999999999999</v>
      </c>
      <c r="G114">
        <f t="shared" si="101"/>
        <v>0.11223333333333332</v>
      </c>
      <c r="H114">
        <f t="shared" si="101"/>
        <v>0.11223333333333332</v>
      </c>
      <c r="I114">
        <f t="shared" si="101"/>
        <v>0.11223333333333332</v>
      </c>
      <c r="J114">
        <f t="shared" si="101"/>
        <v>0.11223333333333332</v>
      </c>
      <c r="K114">
        <f t="shared" si="101"/>
        <v>0.11223333333333332</v>
      </c>
      <c r="L114">
        <f t="shared" si="101"/>
        <v>0.11223333333333332</v>
      </c>
      <c r="M114">
        <f t="shared" si="101"/>
        <v>9.5471428571428554E-2</v>
      </c>
      <c r="N114">
        <f t="shared" si="101"/>
        <v>7.3122222222222213E-2</v>
      </c>
    </row>
    <row r="115" spans="1:25" x14ac:dyDescent="0.25">
      <c r="A115">
        <f t="shared" si="93"/>
        <v>0.61764705882352944</v>
      </c>
      <c r="B115" s="3">
        <v>105</v>
      </c>
      <c r="C115" s="3">
        <v>170</v>
      </c>
      <c r="E115">
        <f t="shared" ref="E115:N115" si="102">($R$1-((E187-1)*$L$1))/(E187)-$U$1</f>
        <v>0.13569999999999999</v>
      </c>
      <c r="F115">
        <f t="shared" si="102"/>
        <v>0.13569999999999999</v>
      </c>
      <c r="G115">
        <f t="shared" si="102"/>
        <v>0.11223333333333332</v>
      </c>
      <c r="H115">
        <f t="shared" si="102"/>
        <v>0.11223333333333332</v>
      </c>
      <c r="I115">
        <f t="shared" si="102"/>
        <v>0.11223333333333332</v>
      </c>
      <c r="J115">
        <f t="shared" si="102"/>
        <v>0.11223333333333332</v>
      </c>
      <c r="K115">
        <f t="shared" si="102"/>
        <v>0.11223333333333332</v>
      </c>
      <c r="L115">
        <f t="shared" si="102"/>
        <v>0.11223333333333332</v>
      </c>
      <c r="M115">
        <f t="shared" si="102"/>
        <v>9.5471428571428554E-2</v>
      </c>
      <c r="N115">
        <f t="shared" si="102"/>
        <v>7.3122222222222213E-2</v>
      </c>
    </row>
    <row r="116" spans="1:25" x14ac:dyDescent="0.25">
      <c r="A116">
        <f t="shared" si="93"/>
        <v>1.6716417910447761</v>
      </c>
      <c r="B116" s="3">
        <v>112</v>
      </c>
      <c r="C116" s="3">
        <v>67</v>
      </c>
      <c r="E116">
        <f t="shared" ref="E116:N116" si="103">($R$1-((E188-1)*$L$1))/(E188)-$U$1</f>
        <v>0.22956666666666667</v>
      </c>
      <c r="F116">
        <f t="shared" si="103"/>
        <v>0.22956666666666667</v>
      </c>
      <c r="G116">
        <f t="shared" si="103"/>
        <v>0.1709</v>
      </c>
      <c r="H116">
        <f t="shared" si="103"/>
        <v>0.1709</v>
      </c>
      <c r="I116">
        <f t="shared" si="103"/>
        <v>0.1709</v>
      </c>
      <c r="J116">
        <f t="shared" si="103"/>
        <v>0.1709</v>
      </c>
      <c r="K116">
        <f t="shared" si="103"/>
        <v>0.1709</v>
      </c>
      <c r="L116">
        <f t="shared" si="103"/>
        <v>0.1709</v>
      </c>
      <c r="M116">
        <f t="shared" si="103"/>
        <v>0.13569999999999999</v>
      </c>
      <c r="N116">
        <f t="shared" si="103"/>
        <v>9.5471428571428554E-2</v>
      </c>
    </row>
    <row r="117" spans="1:25" x14ac:dyDescent="0.25">
      <c r="A117">
        <f t="shared" si="93"/>
        <v>0.78488372093023251</v>
      </c>
      <c r="B117" s="3">
        <v>135</v>
      </c>
      <c r="C117" s="3">
        <v>172</v>
      </c>
      <c r="E117">
        <f t="shared" ref="E117:N117" si="104">($R$1-((E189-1)*$L$1))/(E189)-$U$1</f>
        <v>0.1709</v>
      </c>
      <c r="F117">
        <f t="shared" si="104"/>
        <v>0.1709</v>
      </c>
      <c r="G117">
        <f t="shared" si="104"/>
        <v>0.13569999999999999</v>
      </c>
      <c r="H117">
        <f t="shared" si="104"/>
        <v>0.13569999999999999</v>
      </c>
      <c r="I117">
        <f t="shared" si="104"/>
        <v>0.13569999999999999</v>
      </c>
      <c r="J117">
        <f t="shared" si="104"/>
        <v>0.13569999999999999</v>
      </c>
      <c r="K117">
        <f t="shared" si="104"/>
        <v>0.13569999999999999</v>
      </c>
      <c r="L117">
        <f t="shared" si="104"/>
        <v>0.13569999999999999</v>
      </c>
      <c r="M117">
        <f t="shared" si="104"/>
        <v>0.11223333333333332</v>
      </c>
      <c r="N117">
        <f t="shared" si="104"/>
        <v>8.2899999999999988E-2</v>
      </c>
    </row>
    <row r="118" spans="1:25" x14ac:dyDescent="0.25">
      <c r="A118">
        <f t="shared" si="93"/>
        <v>0.6908212560386473</v>
      </c>
      <c r="B118" s="3">
        <v>143</v>
      </c>
      <c r="C118" s="3">
        <v>207</v>
      </c>
      <c r="E118">
        <f t="shared" ref="E118:N118" si="105">($R$1-((E190-1)*$L$1))/(E190)-$U$1</f>
        <v>0.1709</v>
      </c>
      <c r="F118">
        <f t="shared" si="105"/>
        <v>0.1709</v>
      </c>
      <c r="G118">
        <f t="shared" si="105"/>
        <v>0.13569999999999999</v>
      </c>
      <c r="H118">
        <f t="shared" si="105"/>
        <v>0.13569999999999999</v>
      </c>
      <c r="I118">
        <f t="shared" si="105"/>
        <v>0.13569999999999999</v>
      </c>
      <c r="J118">
        <f t="shared" si="105"/>
        <v>0.13569999999999999</v>
      </c>
      <c r="K118">
        <f t="shared" si="105"/>
        <v>0.13569999999999999</v>
      </c>
      <c r="L118">
        <f t="shared" si="105"/>
        <v>0.13569999999999999</v>
      </c>
      <c r="M118">
        <f t="shared" si="105"/>
        <v>0.11223333333333332</v>
      </c>
      <c r="N118">
        <f t="shared" si="105"/>
        <v>8.2899999999999988E-2</v>
      </c>
    </row>
    <row r="119" spans="1:25" x14ac:dyDescent="0.25">
      <c r="A119">
        <f t="shared" si="93"/>
        <v>0.70731707317073167</v>
      </c>
      <c r="B119" s="3">
        <v>145</v>
      </c>
      <c r="C119" s="3">
        <v>205</v>
      </c>
      <c r="E119">
        <f t="shared" ref="E119:N119" si="106">($R$1-((E191-1)*$L$1))/(E191)-$U$1</f>
        <v>0.1709</v>
      </c>
      <c r="F119">
        <f t="shared" si="106"/>
        <v>0.1709</v>
      </c>
      <c r="G119">
        <f t="shared" si="106"/>
        <v>0.13569999999999999</v>
      </c>
      <c r="H119">
        <f t="shared" si="106"/>
        <v>0.13569999999999999</v>
      </c>
      <c r="I119">
        <f t="shared" si="106"/>
        <v>0.13569999999999999</v>
      </c>
      <c r="J119">
        <f t="shared" si="106"/>
        <v>0.13569999999999999</v>
      </c>
      <c r="K119">
        <f t="shared" si="106"/>
        <v>0.13569999999999999</v>
      </c>
      <c r="L119">
        <f t="shared" si="106"/>
        <v>0.13569999999999999</v>
      </c>
      <c r="M119">
        <f t="shared" si="106"/>
        <v>0.11223333333333332</v>
      </c>
      <c r="N119">
        <f t="shared" si="106"/>
        <v>8.2899999999999988E-2</v>
      </c>
    </row>
    <row r="120" spans="1:25" x14ac:dyDescent="0.25">
      <c r="A120">
        <f t="shared" si="93"/>
        <v>0.71470588235294119</v>
      </c>
      <c r="B120" s="3">
        <v>243</v>
      </c>
      <c r="C120" s="3">
        <v>340</v>
      </c>
      <c r="E120">
        <f t="shared" ref="E120:N120" si="107">($R$1-((E192-1)*$L$1))/(E192)-$U$1</f>
        <v>0.1709</v>
      </c>
      <c r="F120">
        <f t="shared" si="107"/>
        <v>0.1709</v>
      </c>
      <c r="G120">
        <f t="shared" si="107"/>
        <v>0.13569999999999999</v>
      </c>
      <c r="H120">
        <f t="shared" si="107"/>
        <v>0.13569999999999999</v>
      </c>
      <c r="I120">
        <f t="shared" si="107"/>
        <v>0.13569999999999999</v>
      </c>
      <c r="J120">
        <f t="shared" si="107"/>
        <v>0.13569999999999999</v>
      </c>
      <c r="K120">
        <f t="shared" si="107"/>
        <v>0.13569999999999999</v>
      </c>
      <c r="L120">
        <f t="shared" si="107"/>
        <v>0.13569999999999999</v>
      </c>
      <c r="M120">
        <f t="shared" si="107"/>
        <v>0.11223333333333332</v>
      </c>
      <c r="N120">
        <f t="shared" si="107"/>
        <v>8.2899999999999988E-2</v>
      </c>
    </row>
    <row r="121" spans="1:25" x14ac:dyDescent="0.25">
      <c r="A121">
        <f t="shared" si="93"/>
        <v>1.1222707423580787</v>
      </c>
      <c r="B121" s="3">
        <v>257</v>
      </c>
      <c r="C121" s="3">
        <v>229</v>
      </c>
      <c r="E121">
        <f t="shared" ref="E121:N121" si="108">($R$1-((E193-1)*$L$1))/(E193)-$U$1</f>
        <v>0.22956666666666667</v>
      </c>
      <c r="F121">
        <f t="shared" si="108"/>
        <v>0.22956666666666667</v>
      </c>
      <c r="G121">
        <f t="shared" si="108"/>
        <v>0.1709</v>
      </c>
      <c r="H121">
        <f t="shared" si="108"/>
        <v>0.1709</v>
      </c>
      <c r="I121">
        <f t="shared" si="108"/>
        <v>0.1709</v>
      </c>
      <c r="J121">
        <f t="shared" si="108"/>
        <v>0.1709</v>
      </c>
      <c r="K121">
        <f t="shared" si="108"/>
        <v>0.1709</v>
      </c>
      <c r="L121">
        <f t="shared" si="108"/>
        <v>0.1709</v>
      </c>
      <c r="M121">
        <f t="shared" si="108"/>
        <v>0.13569999999999999</v>
      </c>
      <c r="N121">
        <f t="shared" si="108"/>
        <v>9.5471428571428554E-2</v>
      </c>
    </row>
    <row r="122" spans="1:25" x14ac:dyDescent="0.25">
      <c r="A122">
        <f t="shared" si="93"/>
        <v>0.85550458715596334</v>
      </c>
      <c r="B122" s="3">
        <v>373</v>
      </c>
      <c r="C122" s="3">
        <v>436</v>
      </c>
      <c r="E122">
        <f t="shared" ref="E122:N122" si="109">($R$1-((E194-1)*$L$1))/(E194)-$U$1</f>
        <v>0.1709</v>
      </c>
      <c r="F122">
        <f t="shared" si="109"/>
        <v>0.1709</v>
      </c>
      <c r="G122">
        <f t="shared" si="109"/>
        <v>0.13569999999999999</v>
      </c>
      <c r="H122">
        <f t="shared" si="109"/>
        <v>0.13569999999999999</v>
      </c>
      <c r="I122">
        <f t="shared" si="109"/>
        <v>0.13569999999999999</v>
      </c>
      <c r="J122">
        <f t="shared" si="109"/>
        <v>0.13569999999999999</v>
      </c>
      <c r="K122">
        <f t="shared" si="109"/>
        <v>0.13569999999999999</v>
      </c>
      <c r="L122">
        <f t="shared" si="109"/>
        <v>0.13569999999999999</v>
      </c>
      <c r="M122">
        <f t="shared" si="109"/>
        <v>0.11223333333333332</v>
      </c>
      <c r="N122">
        <f t="shared" si="109"/>
        <v>8.2899999999999988E-2</v>
      </c>
    </row>
    <row r="123" spans="1:25" x14ac:dyDescent="0.25">
      <c r="A123">
        <f t="shared" si="93"/>
        <v>0.52222222222222225</v>
      </c>
      <c r="B123" s="3">
        <v>752</v>
      </c>
      <c r="C123" s="3">
        <v>1440</v>
      </c>
      <c r="E123">
        <f t="shared" ref="E123:N123" si="110">($R$1-((E195-1)*$L$1))/(E195)-$U$1</f>
        <v>0.13569999999999999</v>
      </c>
      <c r="F123">
        <f t="shared" si="110"/>
        <v>0.13569999999999999</v>
      </c>
      <c r="G123">
        <f t="shared" si="110"/>
        <v>0.11223333333333332</v>
      </c>
      <c r="H123">
        <f t="shared" si="110"/>
        <v>0.11223333333333332</v>
      </c>
      <c r="I123">
        <f t="shared" si="110"/>
        <v>0.11223333333333332</v>
      </c>
      <c r="J123">
        <f t="shared" si="110"/>
        <v>0.11223333333333332</v>
      </c>
      <c r="K123">
        <f t="shared" si="110"/>
        <v>0.11223333333333332</v>
      </c>
      <c r="L123">
        <f t="shared" si="110"/>
        <v>0.11223333333333332</v>
      </c>
      <c r="M123">
        <f t="shared" si="110"/>
        <v>9.5471428571428554E-2</v>
      </c>
      <c r="N123">
        <f t="shared" si="110"/>
        <v>7.3122222222222213E-2</v>
      </c>
    </row>
    <row r="126" spans="1:25" x14ac:dyDescent="0.25">
      <c r="E126" s="1" t="s">
        <v>4</v>
      </c>
    </row>
    <row r="127" spans="1:25" x14ac:dyDescent="0.25">
      <c r="E127" s="3">
        <v>1</v>
      </c>
      <c r="F127" s="3">
        <v>8</v>
      </c>
      <c r="G127" s="3">
        <v>5</v>
      </c>
      <c r="H127" s="3">
        <v>4</v>
      </c>
      <c r="I127" s="3">
        <v>3</v>
      </c>
      <c r="J127" s="3">
        <v>16</v>
      </c>
      <c r="K127" s="3">
        <v>16</v>
      </c>
      <c r="L127" s="3">
        <v>19.5</v>
      </c>
      <c r="M127" s="3">
        <v>21</v>
      </c>
      <c r="N127" s="3">
        <v>32</v>
      </c>
      <c r="O127" s="3"/>
      <c r="R127" s="3"/>
      <c r="S127" s="3"/>
      <c r="T127" s="3"/>
      <c r="U127" s="3"/>
      <c r="V127" s="3"/>
      <c r="W127" s="3"/>
      <c r="X127" s="3"/>
      <c r="Y127" s="3"/>
    </row>
    <row r="128" spans="1:25" x14ac:dyDescent="0.25">
      <c r="E128" s="3">
        <v>1</v>
      </c>
      <c r="F128" s="3">
        <v>7</v>
      </c>
      <c r="G128" s="3">
        <v>4</v>
      </c>
      <c r="H128" s="3">
        <v>3</v>
      </c>
      <c r="I128" s="3">
        <v>2</v>
      </c>
      <c r="J128" s="3">
        <v>10</v>
      </c>
      <c r="K128" s="3">
        <v>9</v>
      </c>
      <c r="L128" s="3">
        <v>9</v>
      </c>
      <c r="M128" s="3">
        <v>9</v>
      </c>
      <c r="N128" s="3">
        <v>9</v>
      </c>
      <c r="O128" s="3"/>
      <c r="R128" s="3"/>
      <c r="S128" s="3"/>
      <c r="T128" s="3"/>
      <c r="U128" s="3"/>
      <c r="V128" s="3"/>
      <c r="W128" s="3"/>
      <c r="X128" s="3"/>
      <c r="Y128" s="3"/>
    </row>
    <row r="129" spans="1:15" x14ac:dyDescent="0.25">
      <c r="D129" s="3" t="s">
        <v>0</v>
      </c>
      <c r="E129" s="3">
        <v>720</v>
      </c>
      <c r="F129">
        <v>1240</v>
      </c>
      <c r="G129" s="3">
        <v>900</v>
      </c>
      <c r="H129" s="3">
        <v>960</v>
      </c>
      <c r="I129" s="3">
        <v>1080</v>
      </c>
      <c r="J129" s="3">
        <v>1152</v>
      </c>
      <c r="K129" s="3">
        <v>1280</v>
      </c>
      <c r="L129" s="3">
        <v>1560</v>
      </c>
      <c r="M129" s="3">
        <v>1680</v>
      </c>
      <c r="N129">
        <v>2560</v>
      </c>
    </row>
    <row r="130" spans="1:15" x14ac:dyDescent="0.25">
      <c r="B130" s="2" t="s">
        <v>0</v>
      </c>
      <c r="C130" s="2" t="s">
        <v>1</v>
      </c>
      <c r="D130" s="3" t="s">
        <v>1</v>
      </c>
      <c r="E130" s="3">
        <v>720</v>
      </c>
      <c r="F130" s="3">
        <v>1080</v>
      </c>
      <c r="G130" s="3">
        <v>720</v>
      </c>
      <c r="H130" s="3">
        <v>720</v>
      </c>
      <c r="I130" s="3">
        <v>720</v>
      </c>
      <c r="J130" s="3">
        <v>720</v>
      </c>
      <c r="K130" s="3">
        <v>720</v>
      </c>
      <c r="L130" s="3">
        <v>720</v>
      </c>
      <c r="M130" s="3">
        <v>720</v>
      </c>
      <c r="N130" s="3">
        <v>720</v>
      </c>
      <c r="O130" s="3"/>
    </row>
    <row r="131" spans="1:15" x14ac:dyDescent="0.25">
      <c r="A131">
        <f>B131/C131</f>
        <v>1</v>
      </c>
      <c r="B131" s="3">
        <v>1</v>
      </c>
      <c r="C131" s="3">
        <v>1</v>
      </c>
      <c r="E131">
        <f>(E107*E$105*($C131/$B131))/E$106</f>
        <v>0.1709</v>
      </c>
      <c r="F131">
        <f>(F107*F$105*($C131/$B131))/F$106</f>
        <v>0.19621851851851851</v>
      </c>
      <c r="G131">
        <f t="shared" ref="G131:N131" si="111">(G107*G$105*($C131/$B131))/G$106</f>
        <v>0.169625</v>
      </c>
      <c r="H131">
        <f t="shared" si="111"/>
        <v>0.18093333333333333</v>
      </c>
      <c r="I131">
        <f t="shared" si="111"/>
        <v>0.20354999999999998</v>
      </c>
      <c r="J131">
        <f t="shared" si="111"/>
        <v>0.21711999999999998</v>
      </c>
      <c r="K131">
        <f t="shared" si="111"/>
        <v>0.2412444444444444</v>
      </c>
      <c r="L131">
        <f t="shared" si="111"/>
        <v>0.29401666666666665</v>
      </c>
      <c r="M131">
        <f t="shared" si="111"/>
        <v>0.26187777777777776</v>
      </c>
      <c r="N131">
        <f t="shared" si="111"/>
        <v>0.29475555555555549</v>
      </c>
    </row>
    <row r="132" spans="1:15" x14ac:dyDescent="0.25">
      <c r="A132">
        <f t="shared" ref="A132:A147" si="112">B132/C132</f>
        <v>0.5</v>
      </c>
      <c r="B132" s="3">
        <v>1</v>
      </c>
      <c r="C132" s="3">
        <v>2</v>
      </c>
      <c r="E132">
        <f t="shared" ref="E132:N147" si="113">(E108*E$105*($C132/$B132))/E$106</f>
        <v>0.27139999999999997</v>
      </c>
      <c r="F132">
        <f t="shared" ref="F132:F147" si="114">(F108*F$105*($C132/$B132))/F$106</f>
        <v>0.31160740740740733</v>
      </c>
      <c r="G132">
        <f t="shared" si="113"/>
        <v>0.2805833333333333</v>
      </c>
      <c r="H132">
        <f t="shared" si="113"/>
        <v>0.29928888888888883</v>
      </c>
      <c r="I132">
        <f t="shared" si="113"/>
        <v>0.33669999999999994</v>
      </c>
      <c r="J132">
        <f t="shared" si="113"/>
        <v>0.35914666666666667</v>
      </c>
      <c r="K132">
        <f t="shared" si="113"/>
        <v>0.39905185185185182</v>
      </c>
      <c r="L132">
        <f t="shared" si="113"/>
        <v>0.48634444444444436</v>
      </c>
      <c r="M132">
        <f t="shared" si="113"/>
        <v>0.44553333333333323</v>
      </c>
      <c r="N132">
        <f t="shared" si="113"/>
        <v>0.51998024691358014</v>
      </c>
    </row>
    <row r="133" spans="1:15" x14ac:dyDescent="0.25">
      <c r="A133">
        <f t="shared" si="112"/>
        <v>0.66666666666666663</v>
      </c>
      <c r="B133" s="3">
        <v>2</v>
      </c>
      <c r="C133" s="3">
        <v>3</v>
      </c>
      <c r="E133">
        <f t="shared" si="113"/>
        <v>0.25635000000000002</v>
      </c>
      <c r="F133">
        <f t="shared" si="114"/>
        <v>0.2943277777777778</v>
      </c>
      <c r="G133">
        <f t="shared" si="113"/>
        <v>0.25443749999999998</v>
      </c>
      <c r="H133">
        <f t="shared" si="113"/>
        <v>0.27139999999999997</v>
      </c>
      <c r="I133">
        <f t="shared" si="113"/>
        <v>0.30532499999999996</v>
      </c>
      <c r="J133">
        <f t="shared" si="113"/>
        <v>0.32567999999999997</v>
      </c>
      <c r="K133">
        <f t="shared" si="113"/>
        <v>0.36186666666666667</v>
      </c>
      <c r="L133">
        <f t="shared" si="113"/>
        <v>0.44102499999999994</v>
      </c>
      <c r="M133">
        <f t="shared" si="113"/>
        <v>0.39281666666666665</v>
      </c>
      <c r="N133">
        <f t="shared" si="113"/>
        <v>0.44213333333333327</v>
      </c>
    </row>
    <row r="134" spans="1:15" x14ac:dyDescent="0.25">
      <c r="A134">
        <f t="shared" si="112"/>
        <v>0.75</v>
      </c>
      <c r="B134" s="3">
        <v>3</v>
      </c>
      <c r="C134" s="3">
        <v>4</v>
      </c>
      <c r="E134">
        <f t="shared" si="113"/>
        <v>0.22786666666666666</v>
      </c>
      <c r="F134">
        <f t="shared" si="114"/>
        <v>0.26162469135802469</v>
      </c>
      <c r="G134">
        <f t="shared" si="113"/>
        <v>0.22616666666666663</v>
      </c>
      <c r="H134">
        <f t="shared" si="113"/>
        <v>0.2412444444444444</v>
      </c>
      <c r="I134">
        <f t="shared" si="113"/>
        <v>0.27139999999999992</v>
      </c>
      <c r="J134">
        <f t="shared" si="113"/>
        <v>0.28949333333333327</v>
      </c>
      <c r="K134">
        <f t="shared" si="113"/>
        <v>0.3216592592592592</v>
      </c>
      <c r="L134">
        <f t="shared" si="113"/>
        <v>0.39202222222222216</v>
      </c>
      <c r="M134">
        <f t="shared" si="113"/>
        <v>0.34917037037037035</v>
      </c>
      <c r="N134">
        <f t="shared" si="113"/>
        <v>0.39300740740740731</v>
      </c>
    </row>
    <row r="135" spans="1:15" x14ac:dyDescent="0.25">
      <c r="A135">
        <f t="shared" si="112"/>
        <v>0.6</v>
      </c>
      <c r="B135" s="3">
        <v>3</v>
      </c>
      <c r="C135" s="3">
        <v>5</v>
      </c>
      <c r="E135">
        <f t="shared" si="113"/>
        <v>0.22616666666666668</v>
      </c>
      <c r="F135">
        <f t="shared" si="114"/>
        <v>0.25967283950617281</v>
      </c>
      <c r="G135">
        <f t="shared" si="113"/>
        <v>0.23381944444444444</v>
      </c>
      <c r="H135">
        <f t="shared" si="113"/>
        <v>0.24940740740740738</v>
      </c>
      <c r="I135">
        <f t="shared" si="113"/>
        <v>0.2805833333333333</v>
      </c>
      <c r="J135">
        <f t="shared" si="113"/>
        <v>0.29928888888888888</v>
      </c>
      <c r="K135">
        <f t="shared" si="113"/>
        <v>0.33254320987654318</v>
      </c>
      <c r="L135">
        <f t="shared" si="113"/>
        <v>0.40528703703703695</v>
      </c>
      <c r="M135">
        <f t="shared" si="113"/>
        <v>0.37127777777777771</v>
      </c>
      <c r="N135">
        <f t="shared" si="113"/>
        <v>0.4333168724279835</v>
      </c>
    </row>
    <row r="136" spans="1:15" x14ac:dyDescent="0.25">
      <c r="A136">
        <f t="shared" si="112"/>
        <v>1.3333333333333333</v>
      </c>
      <c r="B136" s="3">
        <v>4</v>
      </c>
      <c r="C136" s="3">
        <v>3</v>
      </c>
      <c r="E136">
        <f t="shared" si="113"/>
        <v>0.17217500000000002</v>
      </c>
      <c r="F136">
        <f t="shared" si="114"/>
        <v>0.19768240740740742</v>
      </c>
      <c r="G136">
        <f t="shared" si="113"/>
        <v>0.16021874999999999</v>
      </c>
      <c r="H136">
        <f t="shared" si="113"/>
        <v>0.1709</v>
      </c>
      <c r="I136">
        <f t="shared" si="113"/>
        <v>0.1922625</v>
      </c>
      <c r="J136">
        <f t="shared" si="113"/>
        <v>0.20508000000000001</v>
      </c>
      <c r="K136">
        <f t="shared" si="113"/>
        <v>0.22786666666666669</v>
      </c>
      <c r="L136">
        <f t="shared" si="113"/>
        <v>0.27771249999999997</v>
      </c>
      <c r="M136">
        <f t="shared" si="113"/>
        <v>0.23747499999999996</v>
      </c>
      <c r="N136">
        <f t="shared" si="113"/>
        <v>0.25459047619047614</v>
      </c>
    </row>
    <row r="137" spans="1:15" x14ac:dyDescent="0.25">
      <c r="A137">
        <f t="shared" si="112"/>
        <v>0.7142857142857143</v>
      </c>
      <c r="B137" s="3">
        <v>5</v>
      </c>
      <c r="C137" s="3">
        <v>7</v>
      </c>
      <c r="E137">
        <f t="shared" si="113"/>
        <v>0.23926</v>
      </c>
      <c r="F137">
        <f t="shared" si="114"/>
        <v>0.27470592592592591</v>
      </c>
      <c r="G137">
        <f t="shared" si="113"/>
        <v>0.23747499999999996</v>
      </c>
      <c r="H137">
        <f t="shared" si="113"/>
        <v>0.25330666666666662</v>
      </c>
      <c r="I137">
        <f t="shared" si="113"/>
        <v>0.28496999999999995</v>
      </c>
      <c r="J137">
        <f t="shared" si="113"/>
        <v>0.30396799999999996</v>
      </c>
      <c r="K137">
        <f t="shared" si="113"/>
        <v>0.33774222222222211</v>
      </c>
      <c r="L137">
        <f t="shared" si="113"/>
        <v>0.41162333333333329</v>
      </c>
      <c r="M137">
        <f t="shared" si="113"/>
        <v>0.36662888888888884</v>
      </c>
      <c r="N137">
        <f t="shared" si="113"/>
        <v>0.41265777777777762</v>
      </c>
    </row>
    <row r="138" spans="1:15" x14ac:dyDescent="0.25">
      <c r="A138">
        <f t="shared" si="112"/>
        <v>0.5892857142857143</v>
      </c>
      <c r="B138" s="3">
        <v>99</v>
      </c>
      <c r="C138" s="3">
        <v>168</v>
      </c>
      <c r="E138">
        <f t="shared" si="113"/>
        <v>0.23027878787878789</v>
      </c>
      <c r="F138">
        <f t="shared" si="114"/>
        <v>0.26439416386083048</v>
      </c>
      <c r="G138">
        <f t="shared" si="113"/>
        <v>0.23807070707070707</v>
      </c>
      <c r="H138">
        <f t="shared" si="113"/>
        <v>0.25394208754208752</v>
      </c>
      <c r="I138">
        <f t="shared" si="113"/>
        <v>0.28568484848484849</v>
      </c>
      <c r="J138">
        <f t="shared" si="113"/>
        <v>0.30473050505050508</v>
      </c>
      <c r="K138">
        <f t="shared" si="113"/>
        <v>0.33858945005611668</v>
      </c>
      <c r="L138">
        <f t="shared" si="113"/>
        <v>0.41265589225589216</v>
      </c>
      <c r="M138">
        <f t="shared" si="113"/>
        <v>0.37802828282828277</v>
      </c>
      <c r="N138">
        <f t="shared" si="113"/>
        <v>0.44119536101758317</v>
      </c>
    </row>
    <row r="139" spans="1:15" x14ac:dyDescent="0.25">
      <c r="A139">
        <f t="shared" si="112"/>
        <v>0.61764705882352944</v>
      </c>
      <c r="B139" s="3">
        <v>105</v>
      </c>
      <c r="C139" s="3">
        <v>170</v>
      </c>
      <c r="E139">
        <f t="shared" si="113"/>
        <v>0.2197047619047619</v>
      </c>
      <c r="F139">
        <f t="shared" si="114"/>
        <v>0.25225361552028214</v>
      </c>
      <c r="G139">
        <f t="shared" si="113"/>
        <v>0.22713888888888889</v>
      </c>
      <c r="H139">
        <f t="shared" si="113"/>
        <v>0.24228148148148143</v>
      </c>
      <c r="I139">
        <f t="shared" si="113"/>
        <v>0.27256666666666668</v>
      </c>
      <c r="J139">
        <f t="shared" si="113"/>
        <v>0.29073777777777776</v>
      </c>
      <c r="K139">
        <f t="shared" si="113"/>
        <v>0.32304197530864193</v>
      </c>
      <c r="L139">
        <f t="shared" si="113"/>
        <v>0.39370740740740734</v>
      </c>
      <c r="M139">
        <f t="shared" si="113"/>
        <v>0.36066984126984125</v>
      </c>
      <c r="N139">
        <f t="shared" si="113"/>
        <v>0.42093639035861252</v>
      </c>
    </row>
    <row r="140" spans="1:15" x14ac:dyDescent="0.25">
      <c r="A140">
        <f t="shared" si="112"/>
        <v>1.6716417910447761</v>
      </c>
      <c r="B140" s="3">
        <v>112</v>
      </c>
      <c r="C140" s="3">
        <v>67</v>
      </c>
      <c r="E140">
        <f t="shared" si="113"/>
        <v>0.13733005952380953</v>
      </c>
      <c r="F140">
        <f t="shared" si="114"/>
        <v>0.15767525352733686</v>
      </c>
      <c r="G140">
        <f t="shared" si="113"/>
        <v>0.12779352678571429</v>
      </c>
      <c r="H140">
        <f t="shared" si="113"/>
        <v>0.13631309523809523</v>
      </c>
      <c r="I140">
        <f t="shared" si="113"/>
        <v>0.15335223214285715</v>
      </c>
      <c r="J140">
        <f t="shared" si="113"/>
        <v>0.1635757142857143</v>
      </c>
      <c r="K140">
        <f t="shared" si="113"/>
        <v>0.18175079365079366</v>
      </c>
      <c r="L140">
        <f t="shared" si="113"/>
        <v>0.22150877976190475</v>
      </c>
      <c r="M140">
        <f t="shared" si="113"/>
        <v>0.1894145833333333</v>
      </c>
      <c r="N140">
        <f t="shared" si="113"/>
        <v>0.20306621315192738</v>
      </c>
    </row>
    <row r="141" spans="1:15" x14ac:dyDescent="0.25">
      <c r="A141">
        <f t="shared" si="112"/>
        <v>0.78488372093023251</v>
      </c>
      <c r="B141" s="3">
        <v>135</v>
      </c>
      <c r="C141" s="3">
        <v>172</v>
      </c>
      <c r="E141">
        <f t="shared" si="113"/>
        <v>0.21773925925925927</v>
      </c>
      <c r="F141">
        <f t="shared" si="114"/>
        <v>0.24999692729766806</v>
      </c>
      <c r="G141">
        <f t="shared" si="113"/>
        <v>0.21611481481481482</v>
      </c>
      <c r="H141">
        <f t="shared" si="113"/>
        <v>0.23052246913580246</v>
      </c>
      <c r="I141">
        <f t="shared" si="113"/>
        <v>0.25933777777777778</v>
      </c>
      <c r="J141">
        <f t="shared" si="113"/>
        <v>0.27662696296296291</v>
      </c>
      <c r="K141">
        <f t="shared" si="113"/>
        <v>0.30736329218106995</v>
      </c>
      <c r="L141">
        <f t="shared" si="113"/>
        <v>0.37459901234567899</v>
      </c>
      <c r="M141">
        <f t="shared" si="113"/>
        <v>0.33365168724279837</v>
      </c>
      <c r="N141">
        <f t="shared" si="113"/>
        <v>0.37554041152263368</v>
      </c>
    </row>
    <row r="142" spans="1:15" x14ac:dyDescent="0.25">
      <c r="A142">
        <f t="shared" si="112"/>
        <v>0.6908212560386473</v>
      </c>
      <c r="B142" s="3">
        <v>143</v>
      </c>
      <c r="C142" s="3">
        <v>207</v>
      </c>
      <c r="E142">
        <f t="shared" si="113"/>
        <v>0.2473867132867133</v>
      </c>
      <c r="F142">
        <f t="shared" si="114"/>
        <v>0.28403659673659676</v>
      </c>
      <c r="G142">
        <f t="shared" si="113"/>
        <v>0.2455410839160839</v>
      </c>
      <c r="H142">
        <f t="shared" si="113"/>
        <v>0.26191048951048951</v>
      </c>
      <c r="I142">
        <f t="shared" si="113"/>
        <v>0.29464930069930068</v>
      </c>
      <c r="J142">
        <f t="shared" si="113"/>
        <v>0.31429258741258737</v>
      </c>
      <c r="K142">
        <f t="shared" si="113"/>
        <v>0.34921398601398596</v>
      </c>
      <c r="L142">
        <f t="shared" si="113"/>
        <v>0.42560454545454535</v>
      </c>
      <c r="M142">
        <f t="shared" si="113"/>
        <v>0.37908181818181819</v>
      </c>
      <c r="N142">
        <f t="shared" si="113"/>
        <v>0.42667412587412579</v>
      </c>
    </row>
    <row r="143" spans="1:15" x14ac:dyDescent="0.25">
      <c r="A143">
        <f t="shared" si="112"/>
        <v>0.70731707317073167</v>
      </c>
      <c r="B143" s="3">
        <v>145</v>
      </c>
      <c r="C143" s="3">
        <v>205</v>
      </c>
      <c r="E143">
        <f t="shared" si="113"/>
        <v>0.24161724137931032</v>
      </c>
      <c r="F143">
        <f t="shared" si="114"/>
        <v>0.27741238825031928</v>
      </c>
      <c r="G143">
        <f t="shared" si="113"/>
        <v>0.23981465517241377</v>
      </c>
      <c r="H143">
        <f t="shared" si="113"/>
        <v>0.25580229885057471</v>
      </c>
      <c r="I143">
        <f t="shared" si="113"/>
        <v>0.28777758620689647</v>
      </c>
      <c r="J143">
        <f t="shared" si="113"/>
        <v>0.30696275862068961</v>
      </c>
      <c r="K143">
        <f t="shared" si="113"/>
        <v>0.34106973180076622</v>
      </c>
      <c r="L143">
        <f t="shared" si="113"/>
        <v>0.41567873563218388</v>
      </c>
      <c r="M143">
        <f t="shared" si="113"/>
        <v>0.37024099616858236</v>
      </c>
      <c r="N143">
        <f t="shared" si="113"/>
        <v>0.4167233716475095</v>
      </c>
    </row>
    <row r="144" spans="1:15" x14ac:dyDescent="0.25">
      <c r="A144">
        <f t="shared" si="112"/>
        <v>0.71470588235294119</v>
      </c>
      <c r="B144" s="3">
        <v>243</v>
      </c>
      <c r="C144" s="3">
        <v>340</v>
      </c>
      <c r="E144">
        <f t="shared" si="113"/>
        <v>0.23911934156378603</v>
      </c>
      <c r="F144">
        <f t="shared" si="114"/>
        <v>0.27454442920286543</v>
      </c>
      <c r="G144">
        <f t="shared" si="113"/>
        <v>0.23733539094650205</v>
      </c>
      <c r="H144">
        <f t="shared" si="113"/>
        <v>0.25315775034293553</v>
      </c>
      <c r="I144">
        <f t="shared" si="113"/>
        <v>0.28480246913580248</v>
      </c>
      <c r="J144">
        <f t="shared" si="113"/>
        <v>0.30378930041152258</v>
      </c>
      <c r="K144">
        <f t="shared" si="113"/>
        <v>0.33754366712391398</v>
      </c>
      <c r="L144">
        <f t="shared" si="113"/>
        <v>0.41138134430727025</v>
      </c>
      <c r="M144">
        <f t="shared" si="113"/>
        <v>0.36641335162322819</v>
      </c>
      <c r="N144">
        <f t="shared" si="113"/>
        <v>0.41241518061271143</v>
      </c>
    </row>
    <row r="145" spans="1:15" x14ac:dyDescent="0.25">
      <c r="A145">
        <f t="shared" si="112"/>
        <v>1.1222707423580787</v>
      </c>
      <c r="B145" s="3">
        <v>257</v>
      </c>
      <c r="C145" s="3">
        <v>229</v>
      </c>
      <c r="E145">
        <f t="shared" si="113"/>
        <v>0.20455551232166019</v>
      </c>
      <c r="F145">
        <f t="shared" si="114"/>
        <v>0.23486003266560984</v>
      </c>
      <c r="G145">
        <f t="shared" si="113"/>
        <v>0.19035068093385216</v>
      </c>
      <c r="H145">
        <f t="shared" si="113"/>
        <v>0.20304072632944228</v>
      </c>
      <c r="I145">
        <f t="shared" si="113"/>
        <v>0.22842081712062259</v>
      </c>
      <c r="J145">
        <f t="shared" si="113"/>
        <v>0.24364887159533077</v>
      </c>
      <c r="K145">
        <f t="shared" si="113"/>
        <v>0.27072096843925642</v>
      </c>
      <c r="L145">
        <f t="shared" si="113"/>
        <v>0.32994118028534375</v>
      </c>
      <c r="M145">
        <f t="shared" si="113"/>
        <v>0.28213631647211412</v>
      </c>
      <c r="N145">
        <f t="shared" si="113"/>
        <v>0.30247065653758254</v>
      </c>
    </row>
    <row r="146" spans="1:15" x14ac:dyDescent="0.25">
      <c r="A146">
        <f t="shared" si="112"/>
        <v>0.85550458715596334</v>
      </c>
      <c r="B146" s="3">
        <v>373</v>
      </c>
      <c r="C146" s="3">
        <v>436</v>
      </c>
      <c r="E146">
        <f t="shared" si="113"/>
        <v>0.19976514745308308</v>
      </c>
      <c r="F146">
        <f t="shared" si="114"/>
        <v>0.22935998411279909</v>
      </c>
      <c r="G146">
        <f t="shared" si="113"/>
        <v>0.19827479892761393</v>
      </c>
      <c r="H146">
        <f t="shared" si="113"/>
        <v>0.21149311885612149</v>
      </c>
      <c r="I146">
        <f t="shared" si="113"/>
        <v>0.23792975871313665</v>
      </c>
      <c r="J146">
        <f t="shared" si="113"/>
        <v>0.25379174262734577</v>
      </c>
      <c r="K146">
        <f t="shared" si="113"/>
        <v>0.28199082514149532</v>
      </c>
      <c r="L146">
        <f t="shared" si="113"/>
        <v>0.34367631814119742</v>
      </c>
      <c r="M146">
        <f t="shared" si="113"/>
        <v>0.30610914507000297</v>
      </c>
      <c r="N146">
        <f t="shared" si="113"/>
        <v>0.34454000595770023</v>
      </c>
    </row>
    <row r="147" spans="1:15" x14ac:dyDescent="0.25">
      <c r="A147">
        <f t="shared" si="112"/>
        <v>0.52222222222222225</v>
      </c>
      <c r="B147" s="3">
        <v>752</v>
      </c>
      <c r="C147" s="3">
        <v>1440</v>
      </c>
      <c r="E147">
        <f t="shared" si="113"/>
        <v>0.25985106382978723</v>
      </c>
      <c r="F147">
        <f t="shared" si="114"/>
        <v>0.29834751773049645</v>
      </c>
      <c r="G147">
        <f t="shared" si="113"/>
        <v>0.26864361702127659</v>
      </c>
      <c r="H147">
        <f t="shared" si="113"/>
        <v>0.28655319148936165</v>
      </c>
      <c r="I147">
        <f t="shared" si="113"/>
        <v>0.32237234042553187</v>
      </c>
      <c r="J147">
        <f t="shared" si="113"/>
        <v>0.34386382978723407</v>
      </c>
      <c r="K147">
        <f t="shared" si="113"/>
        <v>0.3820709219858156</v>
      </c>
      <c r="L147">
        <f t="shared" si="113"/>
        <v>0.46564893617021275</v>
      </c>
      <c r="M147">
        <f t="shared" si="113"/>
        <v>0.42657446808510635</v>
      </c>
      <c r="N147">
        <f t="shared" si="113"/>
        <v>0.49785342789598103</v>
      </c>
    </row>
    <row r="150" spans="1:15" x14ac:dyDescent="0.25">
      <c r="E150" s="1" t="s">
        <v>5</v>
      </c>
    </row>
    <row r="151" spans="1:15" x14ac:dyDescent="0.25">
      <c r="E151" s="3">
        <v>1</v>
      </c>
      <c r="F151" s="3">
        <v>8</v>
      </c>
      <c r="G151" s="3">
        <v>5</v>
      </c>
      <c r="H151" s="3">
        <v>4</v>
      </c>
      <c r="I151" s="3">
        <v>3</v>
      </c>
      <c r="J151" s="3">
        <v>16</v>
      </c>
      <c r="K151" s="3">
        <v>16</v>
      </c>
      <c r="L151" s="3">
        <v>19.5</v>
      </c>
      <c r="M151" s="3">
        <v>21</v>
      </c>
      <c r="N151" s="3">
        <v>32</v>
      </c>
      <c r="O151" s="3"/>
    </row>
    <row r="152" spans="1:15" x14ac:dyDescent="0.25">
      <c r="E152" s="3">
        <v>1</v>
      </c>
      <c r="F152" s="3">
        <v>7</v>
      </c>
      <c r="G152" s="3">
        <v>4</v>
      </c>
      <c r="H152" s="3">
        <v>3</v>
      </c>
      <c r="I152" s="3">
        <v>2</v>
      </c>
      <c r="J152" s="3">
        <v>10</v>
      </c>
      <c r="K152" s="3">
        <v>9</v>
      </c>
      <c r="L152" s="3">
        <v>9</v>
      </c>
      <c r="M152" s="3">
        <v>9</v>
      </c>
      <c r="N152" s="3">
        <v>9</v>
      </c>
      <c r="O152" s="3"/>
    </row>
    <row r="153" spans="1:15" x14ac:dyDescent="0.25">
      <c r="D153" s="3" t="s">
        <v>0</v>
      </c>
      <c r="E153" s="3">
        <v>720</v>
      </c>
      <c r="F153">
        <v>1240</v>
      </c>
      <c r="G153" s="3">
        <v>900</v>
      </c>
      <c r="H153" s="3">
        <v>960</v>
      </c>
      <c r="I153" s="3">
        <v>1080</v>
      </c>
      <c r="J153" s="3">
        <v>1152</v>
      </c>
      <c r="K153" s="3">
        <v>1280</v>
      </c>
      <c r="L153" s="3">
        <v>1560</v>
      </c>
      <c r="M153" s="3">
        <v>1680</v>
      </c>
      <c r="N153">
        <v>2560</v>
      </c>
    </row>
    <row r="154" spans="1:15" x14ac:dyDescent="0.25">
      <c r="B154" s="2" t="s">
        <v>0</v>
      </c>
      <c r="C154" s="2" t="s">
        <v>1</v>
      </c>
      <c r="D154" s="3" t="s">
        <v>1</v>
      </c>
      <c r="E154" s="3">
        <v>720</v>
      </c>
      <c r="F154" s="3">
        <v>1080</v>
      </c>
      <c r="G154" s="3">
        <v>720</v>
      </c>
      <c r="H154" s="3">
        <v>720</v>
      </c>
      <c r="I154" s="3">
        <v>720</v>
      </c>
      <c r="J154" s="3">
        <v>720</v>
      </c>
      <c r="K154" s="3">
        <v>720</v>
      </c>
      <c r="L154" s="3">
        <v>720</v>
      </c>
      <c r="M154" s="3">
        <v>720</v>
      </c>
      <c r="N154" s="3">
        <v>720</v>
      </c>
      <c r="O154" s="3"/>
    </row>
    <row r="155" spans="1:15" x14ac:dyDescent="0.25">
      <c r="A155">
        <f>B155/C155</f>
        <v>1</v>
      </c>
      <c r="B155" s="3">
        <v>1</v>
      </c>
      <c r="C155" s="3">
        <v>1</v>
      </c>
      <c r="E155">
        <f t="shared" ref="E155:F171" si="115">($L$1*E$153)/E$154</f>
        <v>5.0000000000000001E-3</v>
      </c>
      <c r="F155">
        <f t="shared" si="115"/>
        <v>5.7407407407407407E-3</v>
      </c>
      <c r="G155">
        <f t="shared" ref="G155:N170" si="116">($L$1*G$153)/G$154</f>
        <v>6.2500000000000003E-3</v>
      </c>
      <c r="H155">
        <f t="shared" si="116"/>
        <v>6.6666666666666662E-3</v>
      </c>
      <c r="I155">
        <f t="shared" si="116"/>
        <v>7.5000000000000006E-3</v>
      </c>
      <c r="J155">
        <f t="shared" si="116"/>
        <v>8.0000000000000002E-3</v>
      </c>
      <c r="K155">
        <f t="shared" si="116"/>
        <v>8.8888888888888889E-3</v>
      </c>
      <c r="L155">
        <f t="shared" si="116"/>
        <v>1.0833333333333334E-2</v>
      </c>
      <c r="M155">
        <f t="shared" si="116"/>
        <v>1.1666666666666667E-2</v>
      </c>
      <c r="N155">
        <f t="shared" si="116"/>
        <v>1.7777777777777778E-2</v>
      </c>
    </row>
    <row r="156" spans="1:15" x14ac:dyDescent="0.25">
      <c r="A156">
        <f t="shared" ref="A156:A171" si="117">B156/C156</f>
        <v>0.5</v>
      </c>
      <c r="B156" s="3">
        <v>1</v>
      </c>
      <c r="C156" s="3">
        <v>2</v>
      </c>
      <c r="E156">
        <f t="shared" si="115"/>
        <v>5.0000000000000001E-3</v>
      </c>
      <c r="F156">
        <f t="shared" si="115"/>
        <v>5.7407407407407407E-3</v>
      </c>
      <c r="G156">
        <f t="shared" si="116"/>
        <v>6.2500000000000003E-3</v>
      </c>
      <c r="H156">
        <f t="shared" si="116"/>
        <v>6.6666666666666662E-3</v>
      </c>
      <c r="I156">
        <f t="shared" si="116"/>
        <v>7.5000000000000006E-3</v>
      </c>
      <c r="J156">
        <f t="shared" si="116"/>
        <v>8.0000000000000002E-3</v>
      </c>
      <c r="K156">
        <f t="shared" si="116"/>
        <v>8.8888888888888889E-3</v>
      </c>
      <c r="L156">
        <f t="shared" si="116"/>
        <v>1.0833333333333334E-2</v>
      </c>
      <c r="M156">
        <f t="shared" si="116"/>
        <v>1.1666666666666667E-2</v>
      </c>
      <c r="N156">
        <f t="shared" si="116"/>
        <v>1.7777777777777778E-2</v>
      </c>
    </row>
    <row r="157" spans="1:15" x14ac:dyDescent="0.25">
      <c r="A157">
        <f t="shared" si="117"/>
        <v>0.66666666666666663</v>
      </c>
      <c r="B157" s="3">
        <v>2</v>
      </c>
      <c r="C157" s="3">
        <v>3</v>
      </c>
      <c r="E157">
        <f t="shared" si="115"/>
        <v>5.0000000000000001E-3</v>
      </c>
      <c r="F157">
        <f t="shared" si="115"/>
        <v>5.7407407407407407E-3</v>
      </c>
      <c r="G157">
        <f t="shared" si="116"/>
        <v>6.2500000000000003E-3</v>
      </c>
      <c r="H157">
        <f t="shared" si="116"/>
        <v>6.6666666666666662E-3</v>
      </c>
      <c r="I157">
        <f t="shared" si="116"/>
        <v>7.5000000000000006E-3</v>
      </c>
      <c r="J157">
        <f t="shared" si="116"/>
        <v>8.0000000000000002E-3</v>
      </c>
      <c r="K157">
        <f t="shared" si="116"/>
        <v>8.8888888888888889E-3</v>
      </c>
      <c r="L157">
        <f t="shared" si="116"/>
        <v>1.0833333333333334E-2</v>
      </c>
      <c r="M157">
        <f t="shared" si="116"/>
        <v>1.1666666666666667E-2</v>
      </c>
      <c r="N157">
        <f t="shared" si="116"/>
        <v>1.7777777777777778E-2</v>
      </c>
    </row>
    <row r="158" spans="1:15" x14ac:dyDescent="0.25">
      <c r="A158">
        <f t="shared" si="117"/>
        <v>0.75</v>
      </c>
      <c r="B158" s="3">
        <v>3</v>
      </c>
      <c r="C158" s="3">
        <v>4</v>
      </c>
      <c r="E158">
        <f t="shared" si="115"/>
        <v>5.0000000000000001E-3</v>
      </c>
      <c r="F158">
        <f t="shared" si="115"/>
        <v>5.7407407407407407E-3</v>
      </c>
      <c r="G158">
        <f t="shared" si="116"/>
        <v>6.2500000000000003E-3</v>
      </c>
      <c r="H158">
        <f t="shared" si="116"/>
        <v>6.6666666666666662E-3</v>
      </c>
      <c r="I158">
        <f t="shared" si="116"/>
        <v>7.5000000000000006E-3</v>
      </c>
      <c r="J158">
        <f t="shared" si="116"/>
        <v>8.0000000000000002E-3</v>
      </c>
      <c r="K158">
        <f t="shared" si="116"/>
        <v>8.8888888888888889E-3</v>
      </c>
      <c r="L158">
        <f t="shared" si="116"/>
        <v>1.0833333333333334E-2</v>
      </c>
      <c r="M158">
        <f t="shared" si="116"/>
        <v>1.1666666666666667E-2</v>
      </c>
      <c r="N158">
        <f t="shared" si="116"/>
        <v>1.7777777777777778E-2</v>
      </c>
    </row>
    <row r="159" spans="1:15" x14ac:dyDescent="0.25">
      <c r="A159">
        <f t="shared" si="117"/>
        <v>0.6</v>
      </c>
      <c r="B159" s="3">
        <v>3</v>
      </c>
      <c r="C159" s="3">
        <v>5</v>
      </c>
      <c r="E159">
        <f t="shared" si="115"/>
        <v>5.0000000000000001E-3</v>
      </c>
      <c r="F159">
        <f t="shared" si="115"/>
        <v>5.7407407407407407E-3</v>
      </c>
      <c r="G159">
        <f t="shared" si="116"/>
        <v>6.2500000000000003E-3</v>
      </c>
      <c r="H159">
        <f t="shared" si="116"/>
        <v>6.6666666666666662E-3</v>
      </c>
      <c r="I159">
        <f t="shared" si="116"/>
        <v>7.5000000000000006E-3</v>
      </c>
      <c r="J159">
        <f t="shared" si="116"/>
        <v>8.0000000000000002E-3</v>
      </c>
      <c r="K159">
        <f t="shared" si="116"/>
        <v>8.8888888888888889E-3</v>
      </c>
      <c r="L159">
        <f t="shared" si="116"/>
        <v>1.0833333333333334E-2</v>
      </c>
      <c r="M159">
        <f t="shared" si="116"/>
        <v>1.1666666666666667E-2</v>
      </c>
      <c r="N159">
        <f t="shared" si="116"/>
        <v>1.7777777777777778E-2</v>
      </c>
    </row>
    <row r="160" spans="1:15" x14ac:dyDescent="0.25">
      <c r="A160">
        <f t="shared" si="117"/>
        <v>1.3333333333333333</v>
      </c>
      <c r="B160" s="3">
        <v>4</v>
      </c>
      <c r="C160" s="3">
        <v>3</v>
      </c>
      <c r="E160">
        <f t="shared" si="115"/>
        <v>5.0000000000000001E-3</v>
      </c>
      <c r="F160">
        <f t="shared" si="115"/>
        <v>5.7407407407407407E-3</v>
      </c>
      <c r="G160">
        <f t="shared" si="116"/>
        <v>6.2500000000000003E-3</v>
      </c>
      <c r="H160">
        <f t="shared" si="116"/>
        <v>6.6666666666666662E-3</v>
      </c>
      <c r="I160">
        <f t="shared" si="116"/>
        <v>7.5000000000000006E-3</v>
      </c>
      <c r="J160">
        <f t="shared" si="116"/>
        <v>8.0000000000000002E-3</v>
      </c>
      <c r="K160">
        <f t="shared" si="116"/>
        <v>8.8888888888888889E-3</v>
      </c>
      <c r="L160">
        <f t="shared" si="116"/>
        <v>1.0833333333333334E-2</v>
      </c>
      <c r="M160">
        <f t="shared" si="116"/>
        <v>1.1666666666666667E-2</v>
      </c>
      <c r="N160">
        <f t="shared" si="116"/>
        <v>1.7777777777777778E-2</v>
      </c>
    </row>
    <row r="161" spans="1:27" x14ac:dyDescent="0.25">
      <c r="A161">
        <f t="shared" si="117"/>
        <v>0.7142857142857143</v>
      </c>
      <c r="B161" s="3">
        <v>5</v>
      </c>
      <c r="C161" s="3">
        <v>7</v>
      </c>
      <c r="E161">
        <f t="shared" si="115"/>
        <v>5.0000000000000001E-3</v>
      </c>
      <c r="F161">
        <f t="shared" si="115"/>
        <v>5.7407407407407407E-3</v>
      </c>
      <c r="G161">
        <f t="shared" si="116"/>
        <v>6.2500000000000003E-3</v>
      </c>
      <c r="H161">
        <f t="shared" si="116"/>
        <v>6.6666666666666662E-3</v>
      </c>
      <c r="I161">
        <f t="shared" si="116"/>
        <v>7.5000000000000006E-3</v>
      </c>
      <c r="J161">
        <f t="shared" si="116"/>
        <v>8.0000000000000002E-3</v>
      </c>
      <c r="K161">
        <f t="shared" si="116"/>
        <v>8.8888888888888889E-3</v>
      </c>
      <c r="L161">
        <f t="shared" si="116"/>
        <v>1.0833333333333334E-2</v>
      </c>
      <c r="M161">
        <f t="shared" si="116"/>
        <v>1.1666666666666667E-2</v>
      </c>
      <c r="N161">
        <f t="shared" si="116"/>
        <v>1.7777777777777778E-2</v>
      </c>
    </row>
    <row r="162" spans="1:27" x14ac:dyDescent="0.25">
      <c r="A162">
        <f t="shared" si="117"/>
        <v>0.5892857142857143</v>
      </c>
      <c r="B162" s="3">
        <v>99</v>
      </c>
      <c r="C162" s="3">
        <v>168</v>
      </c>
      <c r="E162">
        <f t="shared" si="115"/>
        <v>5.0000000000000001E-3</v>
      </c>
      <c r="F162">
        <f t="shared" si="115"/>
        <v>5.7407407407407407E-3</v>
      </c>
      <c r="G162">
        <f t="shared" si="116"/>
        <v>6.2500000000000003E-3</v>
      </c>
      <c r="H162">
        <f t="shared" si="116"/>
        <v>6.6666666666666662E-3</v>
      </c>
      <c r="I162">
        <f t="shared" si="116"/>
        <v>7.5000000000000006E-3</v>
      </c>
      <c r="J162">
        <f t="shared" si="116"/>
        <v>8.0000000000000002E-3</v>
      </c>
      <c r="K162">
        <f t="shared" si="116"/>
        <v>8.8888888888888889E-3</v>
      </c>
      <c r="L162">
        <f t="shared" si="116"/>
        <v>1.0833333333333334E-2</v>
      </c>
      <c r="M162">
        <f t="shared" si="116"/>
        <v>1.1666666666666667E-2</v>
      </c>
      <c r="N162">
        <f t="shared" si="116"/>
        <v>1.7777777777777778E-2</v>
      </c>
    </row>
    <row r="163" spans="1:27" x14ac:dyDescent="0.25">
      <c r="A163">
        <f t="shared" si="117"/>
        <v>0.61764705882352944</v>
      </c>
      <c r="B163" s="3">
        <v>105</v>
      </c>
      <c r="C163" s="3">
        <v>170</v>
      </c>
      <c r="E163">
        <f t="shared" si="115"/>
        <v>5.0000000000000001E-3</v>
      </c>
      <c r="F163">
        <f t="shared" si="115"/>
        <v>5.7407407407407407E-3</v>
      </c>
      <c r="G163">
        <f t="shared" si="116"/>
        <v>6.2500000000000003E-3</v>
      </c>
      <c r="H163">
        <f t="shared" si="116"/>
        <v>6.6666666666666662E-3</v>
      </c>
      <c r="I163">
        <f t="shared" si="116"/>
        <v>7.5000000000000006E-3</v>
      </c>
      <c r="J163">
        <f t="shared" si="116"/>
        <v>8.0000000000000002E-3</v>
      </c>
      <c r="K163">
        <f t="shared" si="116"/>
        <v>8.8888888888888889E-3</v>
      </c>
      <c r="L163">
        <f t="shared" si="116"/>
        <v>1.0833333333333334E-2</v>
      </c>
      <c r="M163">
        <f t="shared" si="116"/>
        <v>1.1666666666666667E-2</v>
      </c>
      <c r="N163">
        <f t="shared" si="116"/>
        <v>1.7777777777777778E-2</v>
      </c>
    </row>
    <row r="164" spans="1:27" x14ac:dyDescent="0.25">
      <c r="A164">
        <f t="shared" si="117"/>
        <v>1.6716417910447761</v>
      </c>
      <c r="B164" s="3">
        <v>112</v>
      </c>
      <c r="C164" s="3">
        <v>67</v>
      </c>
      <c r="E164">
        <f t="shared" si="115"/>
        <v>5.0000000000000001E-3</v>
      </c>
      <c r="F164">
        <f t="shared" si="115"/>
        <v>5.7407407407407407E-3</v>
      </c>
      <c r="G164">
        <f t="shared" si="116"/>
        <v>6.2500000000000003E-3</v>
      </c>
      <c r="H164">
        <f t="shared" si="116"/>
        <v>6.6666666666666662E-3</v>
      </c>
      <c r="I164">
        <f t="shared" si="116"/>
        <v>7.5000000000000006E-3</v>
      </c>
      <c r="J164">
        <f t="shared" si="116"/>
        <v>8.0000000000000002E-3</v>
      </c>
      <c r="K164">
        <f t="shared" si="116"/>
        <v>8.8888888888888889E-3</v>
      </c>
      <c r="L164">
        <f t="shared" si="116"/>
        <v>1.0833333333333334E-2</v>
      </c>
      <c r="M164">
        <f t="shared" si="116"/>
        <v>1.1666666666666667E-2</v>
      </c>
      <c r="N164">
        <f t="shared" si="116"/>
        <v>1.7777777777777778E-2</v>
      </c>
    </row>
    <row r="165" spans="1:27" x14ac:dyDescent="0.25">
      <c r="A165">
        <f t="shared" si="117"/>
        <v>0.78488372093023251</v>
      </c>
      <c r="B165" s="3">
        <v>135</v>
      </c>
      <c r="C165" s="3">
        <v>172</v>
      </c>
      <c r="E165">
        <f t="shared" si="115"/>
        <v>5.0000000000000001E-3</v>
      </c>
      <c r="F165">
        <f t="shared" si="115"/>
        <v>5.7407407407407407E-3</v>
      </c>
      <c r="G165">
        <f t="shared" si="116"/>
        <v>6.2500000000000003E-3</v>
      </c>
      <c r="H165">
        <f t="shared" si="116"/>
        <v>6.6666666666666662E-3</v>
      </c>
      <c r="I165">
        <f t="shared" si="116"/>
        <v>7.5000000000000006E-3</v>
      </c>
      <c r="J165">
        <f t="shared" si="116"/>
        <v>8.0000000000000002E-3</v>
      </c>
      <c r="K165">
        <f t="shared" si="116"/>
        <v>8.8888888888888889E-3</v>
      </c>
      <c r="L165">
        <f t="shared" si="116"/>
        <v>1.0833333333333334E-2</v>
      </c>
      <c r="M165">
        <f t="shared" si="116"/>
        <v>1.1666666666666667E-2</v>
      </c>
      <c r="N165">
        <f t="shared" si="116"/>
        <v>1.7777777777777778E-2</v>
      </c>
    </row>
    <row r="166" spans="1:27" x14ac:dyDescent="0.25">
      <c r="A166">
        <f t="shared" si="117"/>
        <v>0.6908212560386473</v>
      </c>
      <c r="B166" s="3">
        <v>143</v>
      </c>
      <c r="C166" s="3">
        <v>207</v>
      </c>
      <c r="E166">
        <f t="shared" si="115"/>
        <v>5.0000000000000001E-3</v>
      </c>
      <c r="F166">
        <f t="shared" si="115"/>
        <v>5.7407407407407407E-3</v>
      </c>
      <c r="G166">
        <f t="shared" si="116"/>
        <v>6.2500000000000003E-3</v>
      </c>
      <c r="H166">
        <f t="shared" si="116"/>
        <v>6.6666666666666662E-3</v>
      </c>
      <c r="I166">
        <f t="shared" si="116"/>
        <v>7.5000000000000006E-3</v>
      </c>
      <c r="J166">
        <f t="shared" si="116"/>
        <v>8.0000000000000002E-3</v>
      </c>
      <c r="K166">
        <f t="shared" si="116"/>
        <v>8.8888888888888889E-3</v>
      </c>
      <c r="L166">
        <f t="shared" si="116"/>
        <v>1.0833333333333334E-2</v>
      </c>
      <c r="M166">
        <f t="shared" si="116"/>
        <v>1.1666666666666667E-2</v>
      </c>
      <c r="N166">
        <f t="shared" si="116"/>
        <v>1.7777777777777778E-2</v>
      </c>
    </row>
    <row r="167" spans="1:27" x14ac:dyDescent="0.25">
      <c r="A167">
        <f t="shared" si="117"/>
        <v>0.70731707317073167</v>
      </c>
      <c r="B167" s="3">
        <v>145</v>
      </c>
      <c r="C167" s="3">
        <v>205</v>
      </c>
      <c r="E167">
        <f t="shared" si="115"/>
        <v>5.0000000000000001E-3</v>
      </c>
      <c r="F167">
        <f t="shared" si="115"/>
        <v>5.7407407407407407E-3</v>
      </c>
      <c r="G167">
        <f t="shared" si="116"/>
        <v>6.2500000000000003E-3</v>
      </c>
      <c r="H167">
        <f t="shared" si="116"/>
        <v>6.6666666666666662E-3</v>
      </c>
      <c r="I167">
        <f t="shared" si="116"/>
        <v>7.5000000000000006E-3</v>
      </c>
      <c r="J167">
        <f t="shared" si="116"/>
        <v>8.0000000000000002E-3</v>
      </c>
      <c r="K167">
        <f t="shared" si="116"/>
        <v>8.8888888888888889E-3</v>
      </c>
      <c r="L167">
        <f t="shared" si="116"/>
        <v>1.0833333333333334E-2</v>
      </c>
      <c r="M167">
        <f t="shared" si="116"/>
        <v>1.1666666666666667E-2</v>
      </c>
      <c r="N167">
        <f t="shared" si="116"/>
        <v>1.7777777777777778E-2</v>
      </c>
    </row>
    <row r="168" spans="1:27" x14ac:dyDescent="0.25">
      <c r="A168">
        <f t="shared" si="117"/>
        <v>0.71470588235294119</v>
      </c>
      <c r="B168" s="3">
        <v>243</v>
      </c>
      <c r="C168" s="3">
        <v>340</v>
      </c>
      <c r="E168">
        <f t="shared" si="115"/>
        <v>5.0000000000000001E-3</v>
      </c>
      <c r="F168">
        <f t="shared" si="115"/>
        <v>5.7407407407407407E-3</v>
      </c>
      <c r="G168">
        <f t="shared" si="116"/>
        <v>6.2500000000000003E-3</v>
      </c>
      <c r="H168">
        <f t="shared" si="116"/>
        <v>6.6666666666666662E-3</v>
      </c>
      <c r="I168">
        <f t="shared" si="116"/>
        <v>7.5000000000000006E-3</v>
      </c>
      <c r="J168">
        <f t="shared" si="116"/>
        <v>8.0000000000000002E-3</v>
      </c>
      <c r="K168">
        <f t="shared" si="116"/>
        <v>8.8888888888888889E-3</v>
      </c>
      <c r="L168">
        <f t="shared" si="116"/>
        <v>1.0833333333333334E-2</v>
      </c>
      <c r="M168">
        <f t="shared" si="116"/>
        <v>1.1666666666666667E-2</v>
      </c>
      <c r="N168">
        <f t="shared" si="116"/>
        <v>1.7777777777777778E-2</v>
      </c>
    </row>
    <row r="169" spans="1:27" x14ac:dyDescent="0.25">
      <c r="A169">
        <f t="shared" si="117"/>
        <v>1.1222707423580787</v>
      </c>
      <c r="B169" s="3">
        <v>257</v>
      </c>
      <c r="C169" s="3">
        <v>229</v>
      </c>
      <c r="E169">
        <f t="shared" si="115"/>
        <v>5.0000000000000001E-3</v>
      </c>
      <c r="F169">
        <f t="shared" si="115"/>
        <v>5.7407407407407407E-3</v>
      </c>
      <c r="G169">
        <f t="shared" si="116"/>
        <v>6.2500000000000003E-3</v>
      </c>
      <c r="H169">
        <f t="shared" si="116"/>
        <v>6.6666666666666662E-3</v>
      </c>
      <c r="I169">
        <f t="shared" si="116"/>
        <v>7.5000000000000006E-3</v>
      </c>
      <c r="J169">
        <f t="shared" si="116"/>
        <v>8.0000000000000002E-3</v>
      </c>
      <c r="K169">
        <f t="shared" si="116"/>
        <v>8.8888888888888889E-3</v>
      </c>
      <c r="L169">
        <f t="shared" si="116"/>
        <v>1.0833333333333334E-2</v>
      </c>
      <c r="M169">
        <f t="shared" si="116"/>
        <v>1.1666666666666667E-2</v>
      </c>
      <c r="N169">
        <f t="shared" si="116"/>
        <v>1.7777777777777778E-2</v>
      </c>
    </row>
    <row r="170" spans="1:27" x14ac:dyDescent="0.25">
      <c r="A170">
        <f t="shared" si="117"/>
        <v>0.85550458715596334</v>
      </c>
      <c r="B170" s="3">
        <v>373</v>
      </c>
      <c r="C170" s="3">
        <v>436</v>
      </c>
      <c r="E170">
        <f t="shared" si="115"/>
        <v>5.0000000000000001E-3</v>
      </c>
      <c r="F170">
        <f t="shared" si="115"/>
        <v>5.7407407407407407E-3</v>
      </c>
      <c r="G170">
        <f t="shared" si="116"/>
        <v>6.2500000000000003E-3</v>
      </c>
      <c r="H170">
        <f t="shared" si="116"/>
        <v>6.6666666666666662E-3</v>
      </c>
      <c r="I170">
        <f t="shared" si="116"/>
        <v>7.5000000000000006E-3</v>
      </c>
      <c r="J170">
        <f t="shared" si="116"/>
        <v>8.0000000000000002E-3</v>
      </c>
      <c r="K170">
        <f t="shared" si="116"/>
        <v>8.8888888888888889E-3</v>
      </c>
      <c r="L170">
        <f t="shared" si="116"/>
        <v>1.0833333333333334E-2</v>
      </c>
      <c r="M170">
        <f t="shared" si="116"/>
        <v>1.1666666666666667E-2</v>
      </c>
      <c r="N170">
        <f t="shared" si="116"/>
        <v>1.7777777777777778E-2</v>
      </c>
    </row>
    <row r="171" spans="1:27" x14ac:dyDescent="0.25">
      <c r="A171">
        <f t="shared" si="117"/>
        <v>0.52222222222222225</v>
      </c>
      <c r="B171" s="3">
        <v>752</v>
      </c>
      <c r="C171" s="3">
        <v>1440</v>
      </c>
      <c r="E171">
        <f t="shared" si="115"/>
        <v>5.0000000000000001E-3</v>
      </c>
      <c r="F171">
        <f t="shared" si="115"/>
        <v>5.7407407407407407E-3</v>
      </c>
      <c r="G171">
        <f t="shared" ref="G171:L171" si="118">($L$1*G$153)/G$154</f>
        <v>6.2500000000000003E-3</v>
      </c>
      <c r="H171">
        <f t="shared" si="118"/>
        <v>6.6666666666666662E-3</v>
      </c>
      <c r="I171">
        <f t="shared" si="118"/>
        <v>7.5000000000000006E-3</v>
      </c>
      <c r="J171">
        <f t="shared" si="118"/>
        <v>8.0000000000000002E-3</v>
      </c>
      <c r="K171">
        <f t="shared" si="118"/>
        <v>8.8888888888888889E-3</v>
      </c>
      <c r="L171">
        <f t="shared" si="118"/>
        <v>1.0833333333333334E-2</v>
      </c>
      <c r="M171">
        <f t="shared" ref="M171:N171" si="119">($L$1*M$153)/M$154</f>
        <v>1.1666666666666667E-2</v>
      </c>
      <c r="N171">
        <f t="shared" si="119"/>
        <v>1.7777777777777778E-2</v>
      </c>
    </row>
    <row r="174" spans="1:27" x14ac:dyDescent="0.25">
      <c r="E174" s="1" t="s">
        <v>19</v>
      </c>
      <c r="G174" s="2"/>
      <c r="H174" s="2"/>
      <c r="I174" s="2"/>
      <c r="J174" s="2"/>
      <c r="K174" s="2"/>
      <c r="R174" s="6" t="s">
        <v>20</v>
      </c>
    </row>
    <row r="175" spans="1:27" x14ac:dyDescent="0.25">
      <c r="E175" s="3">
        <v>1</v>
      </c>
      <c r="F175" s="3">
        <v>8</v>
      </c>
      <c r="G175" s="3">
        <v>5</v>
      </c>
      <c r="H175" s="3">
        <v>4</v>
      </c>
      <c r="I175" s="3">
        <v>3</v>
      </c>
      <c r="J175" s="3">
        <v>16</v>
      </c>
      <c r="K175" s="3">
        <v>16</v>
      </c>
      <c r="L175" s="3">
        <v>19.5</v>
      </c>
      <c r="M175" s="3">
        <v>21</v>
      </c>
      <c r="N175" s="3">
        <v>32</v>
      </c>
      <c r="O175" s="3"/>
      <c r="R175" s="3">
        <v>1</v>
      </c>
      <c r="S175" s="3">
        <v>8</v>
      </c>
      <c r="T175" s="3">
        <v>5</v>
      </c>
      <c r="U175" s="3">
        <v>4</v>
      </c>
      <c r="V175" s="3">
        <v>3</v>
      </c>
      <c r="W175" s="3">
        <v>16</v>
      </c>
      <c r="X175" s="3">
        <v>16</v>
      </c>
      <c r="Y175" s="3">
        <v>19.5</v>
      </c>
      <c r="Z175" s="3">
        <v>21</v>
      </c>
      <c r="AA175" s="3">
        <v>32</v>
      </c>
    </row>
    <row r="176" spans="1:27" x14ac:dyDescent="0.25">
      <c r="E176" s="3">
        <v>1</v>
      </c>
      <c r="F176" s="3">
        <v>7</v>
      </c>
      <c r="G176" s="3">
        <v>4</v>
      </c>
      <c r="H176" s="3">
        <v>3</v>
      </c>
      <c r="I176" s="3">
        <v>2</v>
      </c>
      <c r="J176" s="3">
        <v>10</v>
      </c>
      <c r="K176" s="3">
        <v>9</v>
      </c>
      <c r="L176" s="3">
        <v>9</v>
      </c>
      <c r="M176" s="3">
        <v>9</v>
      </c>
      <c r="N176" s="3">
        <v>9</v>
      </c>
      <c r="O176" s="3"/>
      <c r="R176" s="3">
        <v>1</v>
      </c>
      <c r="S176" s="3">
        <v>7</v>
      </c>
      <c r="T176" s="3">
        <v>4</v>
      </c>
      <c r="U176" s="3">
        <v>3</v>
      </c>
      <c r="V176" s="3">
        <v>2</v>
      </c>
      <c r="W176" s="3">
        <v>10</v>
      </c>
      <c r="X176" s="3">
        <v>9</v>
      </c>
      <c r="Y176" s="3">
        <v>9</v>
      </c>
      <c r="Z176" s="3">
        <v>9</v>
      </c>
      <c r="AA176" s="3">
        <v>9</v>
      </c>
    </row>
    <row r="177" spans="1:27" x14ac:dyDescent="0.25">
      <c r="D177" s="3" t="s">
        <v>0</v>
      </c>
      <c r="E177" s="3">
        <v>720</v>
      </c>
      <c r="F177">
        <v>1240</v>
      </c>
      <c r="G177" s="3">
        <v>900</v>
      </c>
      <c r="H177" s="3">
        <v>960</v>
      </c>
      <c r="I177" s="3">
        <v>1080</v>
      </c>
      <c r="J177" s="3">
        <v>1152</v>
      </c>
      <c r="K177" s="3">
        <v>1280</v>
      </c>
      <c r="L177" s="3">
        <v>1560</v>
      </c>
      <c r="M177" s="3">
        <v>1680</v>
      </c>
      <c r="N177">
        <v>2560</v>
      </c>
      <c r="R177" s="3">
        <v>720</v>
      </c>
      <c r="S177">
        <v>1240</v>
      </c>
      <c r="T177" s="3">
        <v>900</v>
      </c>
      <c r="U177" s="3">
        <v>960</v>
      </c>
      <c r="V177" s="3">
        <v>1080</v>
      </c>
      <c r="W177" s="3">
        <v>1152</v>
      </c>
      <c r="X177" s="3">
        <v>1280</v>
      </c>
      <c r="Y177" s="3">
        <v>1560</v>
      </c>
      <c r="Z177" s="3">
        <v>1680</v>
      </c>
      <c r="AA177">
        <v>2560</v>
      </c>
    </row>
    <row r="178" spans="1:27" x14ac:dyDescent="0.25">
      <c r="B178" s="2" t="s">
        <v>0</v>
      </c>
      <c r="C178" s="2" t="s">
        <v>1</v>
      </c>
      <c r="D178" s="3" t="s">
        <v>1</v>
      </c>
      <c r="E178" s="3">
        <v>720</v>
      </c>
      <c r="F178" s="3">
        <v>1080</v>
      </c>
      <c r="G178" s="3">
        <v>720</v>
      </c>
      <c r="H178" s="3">
        <v>720</v>
      </c>
      <c r="I178" s="3">
        <v>720</v>
      </c>
      <c r="J178" s="3">
        <v>720</v>
      </c>
      <c r="K178" s="3">
        <v>720</v>
      </c>
      <c r="L178" s="3">
        <v>720</v>
      </c>
      <c r="M178" s="3">
        <v>720</v>
      </c>
      <c r="N178" s="3">
        <v>720</v>
      </c>
      <c r="O178" s="3"/>
      <c r="R178" s="3">
        <v>720</v>
      </c>
      <c r="S178" s="3">
        <v>1080</v>
      </c>
      <c r="T178" s="3">
        <v>720</v>
      </c>
      <c r="U178" s="3">
        <v>720</v>
      </c>
      <c r="V178" s="3">
        <v>720</v>
      </c>
      <c r="W178" s="3">
        <v>720</v>
      </c>
      <c r="X178" s="3">
        <v>720</v>
      </c>
      <c r="Y178" s="3">
        <v>720</v>
      </c>
      <c r="Z178" s="3">
        <v>720</v>
      </c>
      <c r="AA178" s="3">
        <v>720</v>
      </c>
    </row>
    <row r="179" spans="1:27" x14ac:dyDescent="0.25">
      <c r="A179">
        <f>B179/C179</f>
        <v>1</v>
      </c>
      <c r="B179" s="3">
        <v>1</v>
      </c>
      <c r="C179" s="3">
        <v>1</v>
      </c>
      <c r="E179">
        <f>E79+1</f>
        <v>4</v>
      </c>
      <c r="F179">
        <f>F79+1</f>
        <v>4</v>
      </c>
      <c r="G179">
        <f t="shared" ref="G179:N179" si="120">G79+1</f>
        <v>5</v>
      </c>
      <c r="H179">
        <f t="shared" si="120"/>
        <v>5</v>
      </c>
      <c r="I179">
        <f t="shared" si="120"/>
        <v>5</v>
      </c>
      <c r="J179">
        <f t="shared" si="120"/>
        <v>5</v>
      </c>
      <c r="K179">
        <f t="shared" si="120"/>
        <v>5</v>
      </c>
      <c r="L179">
        <f t="shared" si="120"/>
        <v>5</v>
      </c>
      <c r="M179">
        <f t="shared" si="120"/>
        <v>6</v>
      </c>
      <c r="N179">
        <f t="shared" si="120"/>
        <v>8</v>
      </c>
      <c r="R179">
        <f t="shared" ref="R179:AA179" si="121">$R$2/E131</f>
        <v>4.681100058513751</v>
      </c>
      <c r="S179">
        <f t="shared" si="121"/>
        <v>4.0770871477377835</v>
      </c>
      <c r="T179">
        <f t="shared" si="121"/>
        <v>4.7162859248341933</v>
      </c>
      <c r="U179">
        <f t="shared" si="121"/>
        <v>4.421518054532056</v>
      </c>
      <c r="V179">
        <f t="shared" si="121"/>
        <v>3.9302382706951615</v>
      </c>
      <c r="W179">
        <f t="shared" si="121"/>
        <v>3.6845983787767138</v>
      </c>
      <c r="X179">
        <f t="shared" si="121"/>
        <v>3.3161385408990429</v>
      </c>
      <c r="Y179">
        <f t="shared" si="121"/>
        <v>2.7209341874043425</v>
      </c>
      <c r="Z179">
        <f t="shared" si="121"/>
        <v>3.0548601977173409</v>
      </c>
      <c r="AA179">
        <f t="shared" si="121"/>
        <v>2.7141133896260561</v>
      </c>
    </row>
    <row r="180" spans="1:27" x14ac:dyDescent="0.25">
      <c r="A180">
        <f t="shared" ref="A180:A195" si="122">B180/C180</f>
        <v>0.5</v>
      </c>
      <c r="B180" s="3">
        <v>1</v>
      </c>
      <c r="C180" s="3">
        <v>2</v>
      </c>
      <c r="E180">
        <f t="shared" ref="E180:N180" si="123">E80+1</f>
        <v>5</v>
      </c>
      <c r="F180">
        <f t="shared" ref="F180:F195" si="124">F80+1</f>
        <v>5</v>
      </c>
      <c r="G180">
        <f t="shared" si="123"/>
        <v>6</v>
      </c>
      <c r="H180">
        <f t="shared" si="123"/>
        <v>6</v>
      </c>
      <c r="I180">
        <f t="shared" si="123"/>
        <v>6</v>
      </c>
      <c r="J180">
        <f t="shared" si="123"/>
        <v>6</v>
      </c>
      <c r="K180">
        <f t="shared" si="123"/>
        <v>6</v>
      </c>
      <c r="L180">
        <f t="shared" si="123"/>
        <v>6</v>
      </c>
      <c r="M180">
        <f t="shared" si="123"/>
        <v>7</v>
      </c>
      <c r="N180">
        <f t="shared" si="123"/>
        <v>9</v>
      </c>
      <c r="R180">
        <f t="shared" ref="R180:R195" si="125">$R$2/E132</f>
        <v>2.9476787030213711</v>
      </c>
      <c r="S180">
        <f t="shared" ref="S180:S195" si="126">$R$2/F132</f>
        <v>2.5673330639218399</v>
      </c>
      <c r="T180">
        <f t="shared" ref="T180:T195" si="127">$R$2/G132</f>
        <v>2.8512028512028516</v>
      </c>
      <c r="U180">
        <f t="shared" ref="U180:U195" si="128">$R$2/H132</f>
        <v>2.6730026730026739</v>
      </c>
      <c r="V180">
        <f t="shared" ref="V180:V195" si="129">$R$2/I132</f>
        <v>2.3760023760023765</v>
      </c>
      <c r="W180">
        <f t="shared" ref="W180:W195" si="130">$R$2/J132</f>
        <v>2.2275022275022276</v>
      </c>
      <c r="X180">
        <f t="shared" ref="X180:X195" si="131">$R$2/K132</f>
        <v>2.0047520047520049</v>
      </c>
      <c r="Y180">
        <f t="shared" ref="Y180:Y195" si="132">$R$2/L132</f>
        <v>1.6449247218477991</v>
      </c>
      <c r="Z180">
        <f t="shared" ref="Z180:AA180" si="133">$R$2/M132</f>
        <v>1.7956007780936711</v>
      </c>
      <c r="AA180">
        <f t="shared" si="133"/>
        <v>1.5385199817656896</v>
      </c>
    </row>
    <row r="181" spans="1:27" x14ac:dyDescent="0.25">
      <c r="A181">
        <f t="shared" si="122"/>
        <v>0.66666666666666663</v>
      </c>
      <c r="B181" s="3">
        <v>2</v>
      </c>
      <c r="C181" s="3">
        <v>3</v>
      </c>
      <c r="E181">
        <f t="shared" ref="E181:N181" si="134">E81+1</f>
        <v>4</v>
      </c>
      <c r="F181">
        <f t="shared" si="124"/>
        <v>4</v>
      </c>
      <c r="G181">
        <f t="shared" si="134"/>
        <v>5</v>
      </c>
      <c r="H181">
        <f t="shared" si="134"/>
        <v>5</v>
      </c>
      <c r="I181">
        <f t="shared" si="134"/>
        <v>5</v>
      </c>
      <c r="J181">
        <f t="shared" si="134"/>
        <v>5</v>
      </c>
      <c r="K181">
        <f t="shared" si="134"/>
        <v>5</v>
      </c>
      <c r="L181">
        <f t="shared" si="134"/>
        <v>5</v>
      </c>
      <c r="M181">
        <f t="shared" si="134"/>
        <v>6</v>
      </c>
      <c r="N181">
        <f t="shared" si="134"/>
        <v>8</v>
      </c>
      <c r="R181">
        <f t="shared" si="125"/>
        <v>3.1207333723425004</v>
      </c>
      <c r="S181">
        <f t="shared" si="126"/>
        <v>2.7180580984918552</v>
      </c>
      <c r="T181">
        <f t="shared" si="127"/>
        <v>3.1441906165561293</v>
      </c>
      <c r="U181">
        <f t="shared" si="128"/>
        <v>2.9476787030213711</v>
      </c>
      <c r="V181">
        <f t="shared" si="129"/>
        <v>2.6201588471301078</v>
      </c>
      <c r="W181">
        <f t="shared" si="130"/>
        <v>2.4563989191844757</v>
      </c>
      <c r="X181">
        <f t="shared" si="131"/>
        <v>2.210759027266028</v>
      </c>
      <c r="Y181">
        <f t="shared" si="132"/>
        <v>1.8139561249362284</v>
      </c>
      <c r="Z181">
        <f t="shared" ref="Z181:AA181" si="135">$R$2/M133</f>
        <v>2.0365734651448939</v>
      </c>
      <c r="AA181">
        <f t="shared" si="135"/>
        <v>1.8094089264173707</v>
      </c>
    </row>
    <row r="182" spans="1:27" x14ac:dyDescent="0.25">
      <c r="A182">
        <f t="shared" si="122"/>
        <v>0.75</v>
      </c>
      <c r="B182" s="3">
        <v>3</v>
      </c>
      <c r="C182" s="3">
        <v>4</v>
      </c>
      <c r="E182">
        <f t="shared" ref="E182:N182" si="136">E82+1</f>
        <v>4</v>
      </c>
      <c r="F182">
        <f t="shared" si="124"/>
        <v>4</v>
      </c>
      <c r="G182">
        <f t="shared" si="136"/>
        <v>5</v>
      </c>
      <c r="H182">
        <f t="shared" si="136"/>
        <v>5</v>
      </c>
      <c r="I182">
        <f t="shared" si="136"/>
        <v>5</v>
      </c>
      <c r="J182">
        <f t="shared" si="136"/>
        <v>5</v>
      </c>
      <c r="K182">
        <f t="shared" si="136"/>
        <v>5</v>
      </c>
      <c r="L182">
        <f t="shared" si="136"/>
        <v>5</v>
      </c>
      <c r="M182">
        <f t="shared" si="136"/>
        <v>6</v>
      </c>
      <c r="N182">
        <f t="shared" si="136"/>
        <v>8</v>
      </c>
      <c r="R182">
        <f t="shared" si="125"/>
        <v>3.5108250438853132</v>
      </c>
      <c r="S182">
        <f t="shared" si="126"/>
        <v>3.0578153608033376</v>
      </c>
      <c r="T182">
        <f t="shared" si="127"/>
        <v>3.5372144436256456</v>
      </c>
      <c r="U182">
        <f t="shared" si="128"/>
        <v>3.3161385408990429</v>
      </c>
      <c r="V182">
        <f t="shared" si="129"/>
        <v>2.9476787030213716</v>
      </c>
      <c r="W182">
        <f t="shared" si="130"/>
        <v>2.7634487840825357</v>
      </c>
      <c r="X182">
        <f t="shared" si="131"/>
        <v>2.4871039056742821</v>
      </c>
      <c r="Y182">
        <f t="shared" si="132"/>
        <v>2.0407006405532568</v>
      </c>
      <c r="Z182">
        <f t="shared" ref="Z182:AA182" si="137">$R$2/M134</f>
        <v>2.2911451482880056</v>
      </c>
      <c r="AA182">
        <f t="shared" si="137"/>
        <v>2.0355850422195423</v>
      </c>
    </row>
    <row r="183" spans="1:27" x14ac:dyDescent="0.25">
      <c r="A183">
        <f t="shared" si="122"/>
        <v>0.6</v>
      </c>
      <c r="B183" s="3">
        <v>3</v>
      </c>
      <c r="C183" s="3">
        <v>5</v>
      </c>
      <c r="E183">
        <f t="shared" ref="E183:N183" si="138">E83+1</f>
        <v>5</v>
      </c>
      <c r="F183">
        <f t="shared" si="124"/>
        <v>5</v>
      </c>
      <c r="G183">
        <f t="shared" si="138"/>
        <v>6</v>
      </c>
      <c r="H183">
        <f t="shared" si="138"/>
        <v>6</v>
      </c>
      <c r="I183">
        <f t="shared" si="138"/>
        <v>6</v>
      </c>
      <c r="J183">
        <f t="shared" si="138"/>
        <v>6</v>
      </c>
      <c r="K183">
        <f t="shared" si="138"/>
        <v>6</v>
      </c>
      <c r="L183">
        <f t="shared" si="138"/>
        <v>6</v>
      </c>
      <c r="M183">
        <f t="shared" si="138"/>
        <v>7</v>
      </c>
      <c r="N183">
        <f t="shared" si="138"/>
        <v>9</v>
      </c>
      <c r="R183">
        <f t="shared" si="125"/>
        <v>3.5372144436256447</v>
      </c>
      <c r="S183">
        <f t="shared" si="126"/>
        <v>3.0807996767062074</v>
      </c>
      <c r="T183">
        <f t="shared" si="127"/>
        <v>3.4214434214434215</v>
      </c>
      <c r="U183">
        <f t="shared" si="128"/>
        <v>3.2076032076032082</v>
      </c>
      <c r="V183">
        <f t="shared" si="129"/>
        <v>2.8512028512028516</v>
      </c>
      <c r="W183">
        <f t="shared" si="130"/>
        <v>2.673002673002673</v>
      </c>
      <c r="X183">
        <f t="shared" si="131"/>
        <v>2.4057024057024061</v>
      </c>
      <c r="Y183">
        <f t="shared" si="132"/>
        <v>1.973909666217359</v>
      </c>
      <c r="Z183">
        <f t="shared" ref="Z183:AA183" si="139">$R$2/M135</f>
        <v>2.1547209337124054</v>
      </c>
      <c r="AA183">
        <f t="shared" si="139"/>
        <v>1.8462239781188272</v>
      </c>
    </row>
    <row r="184" spans="1:27" x14ac:dyDescent="0.25">
      <c r="A184">
        <f t="shared" si="122"/>
        <v>1.3333333333333333</v>
      </c>
      <c r="B184" s="3">
        <v>4</v>
      </c>
      <c r="C184" s="3">
        <v>3</v>
      </c>
      <c r="E184">
        <f t="shared" ref="E184:N184" si="140">E84+1</f>
        <v>3</v>
      </c>
      <c r="F184">
        <f t="shared" si="124"/>
        <v>3</v>
      </c>
      <c r="G184">
        <f t="shared" si="140"/>
        <v>4</v>
      </c>
      <c r="H184">
        <f t="shared" si="140"/>
        <v>4</v>
      </c>
      <c r="I184">
        <f t="shared" si="140"/>
        <v>4</v>
      </c>
      <c r="J184">
        <f t="shared" si="140"/>
        <v>4</v>
      </c>
      <c r="K184">
        <f t="shared" si="140"/>
        <v>4</v>
      </c>
      <c r="L184">
        <f t="shared" si="140"/>
        <v>4</v>
      </c>
      <c r="M184">
        <f t="shared" si="140"/>
        <v>5</v>
      </c>
      <c r="N184">
        <f t="shared" si="140"/>
        <v>7</v>
      </c>
      <c r="R184">
        <f t="shared" si="125"/>
        <v>4.6464353129083777</v>
      </c>
      <c r="S184">
        <f t="shared" si="126"/>
        <v>4.0468952725331038</v>
      </c>
      <c r="T184">
        <f t="shared" si="127"/>
        <v>4.9931733957480011</v>
      </c>
      <c r="U184">
        <f t="shared" si="128"/>
        <v>4.681100058513751</v>
      </c>
      <c r="V184">
        <f t="shared" si="129"/>
        <v>4.1609778297900011</v>
      </c>
      <c r="W184">
        <f t="shared" si="130"/>
        <v>3.9009167154281257</v>
      </c>
      <c r="X184">
        <f t="shared" si="131"/>
        <v>3.5108250438853128</v>
      </c>
      <c r="Y184">
        <f t="shared" si="132"/>
        <v>2.8806769590853856</v>
      </c>
      <c r="Z184">
        <f t="shared" ref="Z184:AA184" si="141">$R$2/M136</f>
        <v>3.368775660595853</v>
      </c>
      <c r="AA184">
        <f t="shared" si="141"/>
        <v>3.1423013616639239</v>
      </c>
    </row>
    <row r="185" spans="1:27" x14ac:dyDescent="0.25">
      <c r="A185">
        <f t="shared" si="122"/>
        <v>0.7142857142857143</v>
      </c>
      <c r="B185" s="3">
        <v>5</v>
      </c>
      <c r="C185" s="3">
        <v>7</v>
      </c>
      <c r="E185">
        <f t="shared" ref="E185:N185" si="142">E85+1</f>
        <v>4</v>
      </c>
      <c r="F185">
        <f t="shared" si="124"/>
        <v>4</v>
      </c>
      <c r="G185">
        <f t="shared" si="142"/>
        <v>5</v>
      </c>
      <c r="H185">
        <f t="shared" si="142"/>
        <v>5</v>
      </c>
      <c r="I185">
        <f t="shared" si="142"/>
        <v>5</v>
      </c>
      <c r="J185">
        <f t="shared" si="142"/>
        <v>5</v>
      </c>
      <c r="K185">
        <f t="shared" si="142"/>
        <v>5</v>
      </c>
      <c r="L185">
        <f t="shared" si="142"/>
        <v>5</v>
      </c>
      <c r="M185">
        <f t="shared" si="142"/>
        <v>6</v>
      </c>
      <c r="N185">
        <f t="shared" si="142"/>
        <v>8</v>
      </c>
      <c r="R185">
        <f t="shared" si="125"/>
        <v>3.3436428989383935</v>
      </c>
      <c r="S185">
        <f t="shared" si="126"/>
        <v>2.9122051055269882</v>
      </c>
      <c r="T185">
        <f t="shared" si="127"/>
        <v>3.368775660595853</v>
      </c>
      <c r="U185">
        <f t="shared" si="128"/>
        <v>3.1582271818086123</v>
      </c>
      <c r="V185">
        <f t="shared" si="129"/>
        <v>2.807313050496544</v>
      </c>
      <c r="W185">
        <f t="shared" si="130"/>
        <v>2.6318559848405099</v>
      </c>
      <c r="X185">
        <f t="shared" si="131"/>
        <v>2.3686703863564595</v>
      </c>
      <c r="Y185">
        <f t="shared" si="132"/>
        <v>1.9435244195745305</v>
      </c>
      <c r="Z185">
        <f t="shared" ref="Z185:AA185" si="143">$R$2/M137</f>
        <v>2.1820429983695293</v>
      </c>
      <c r="AA185">
        <f t="shared" si="143"/>
        <v>1.9386524211614691</v>
      </c>
    </row>
    <row r="186" spans="1:27" x14ac:dyDescent="0.25">
      <c r="A186">
        <f t="shared" si="122"/>
        <v>0.5892857142857143</v>
      </c>
      <c r="B186" s="3">
        <v>99</v>
      </c>
      <c r="C186" s="3">
        <v>168</v>
      </c>
      <c r="E186">
        <f t="shared" ref="E186:N186" si="144">E86+1</f>
        <v>5</v>
      </c>
      <c r="F186">
        <f t="shared" si="124"/>
        <v>5</v>
      </c>
      <c r="G186">
        <f t="shared" si="144"/>
        <v>6</v>
      </c>
      <c r="H186">
        <f t="shared" si="144"/>
        <v>6</v>
      </c>
      <c r="I186">
        <f t="shared" si="144"/>
        <v>6</v>
      </c>
      <c r="J186">
        <f t="shared" si="144"/>
        <v>6</v>
      </c>
      <c r="K186">
        <f t="shared" si="144"/>
        <v>6</v>
      </c>
      <c r="L186">
        <f t="shared" si="144"/>
        <v>6</v>
      </c>
      <c r="M186">
        <f t="shared" si="144"/>
        <v>7</v>
      </c>
      <c r="N186">
        <f t="shared" si="144"/>
        <v>9</v>
      </c>
      <c r="R186">
        <f t="shared" si="125"/>
        <v>3.4740498999894727</v>
      </c>
      <c r="S186">
        <f t="shared" si="126"/>
        <v>3.0257853967650252</v>
      </c>
      <c r="T186">
        <f t="shared" si="127"/>
        <v>3.360346217489075</v>
      </c>
      <c r="U186">
        <f t="shared" si="128"/>
        <v>3.1503245788960079</v>
      </c>
      <c r="V186">
        <f t="shared" si="129"/>
        <v>2.8002885145742291</v>
      </c>
      <c r="W186">
        <f t="shared" si="130"/>
        <v>2.6252704824133395</v>
      </c>
      <c r="X186">
        <f t="shared" si="131"/>
        <v>2.3627434341720059</v>
      </c>
      <c r="Y186">
        <f t="shared" si="132"/>
        <v>1.9386612793206206</v>
      </c>
      <c r="Z186">
        <f t="shared" ref="Z186:AA186" si="145">$R$2/M138</f>
        <v>2.1162437741818265</v>
      </c>
      <c r="AA186">
        <f t="shared" si="145"/>
        <v>1.8132556927952768</v>
      </c>
    </row>
    <row r="187" spans="1:27" x14ac:dyDescent="0.25">
      <c r="A187">
        <f t="shared" si="122"/>
        <v>0.61764705882352944</v>
      </c>
      <c r="B187" s="3">
        <v>105</v>
      </c>
      <c r="C187" s="3">
        <v>170</v>
      </c>
      <c r="E187">
        <f t="shared" ref="E187:N187" si="146">E87+1</f>
        <v>5</v>
      </c>
      <c r="F187">
        <f t="shared" si="124"/>
        <v>5</v>
      </c>
      <c r="G187">
        <f t="shared" si="146"/>
        <v>6</v>
      </c>
      <c r="H187">
        <f t="shared" si="146"/>
        <v>6</v>
      </c>
      <c r="I187">
        <f t="shared" si="146"/>
        <v>6</v>
      </c>
      <c r="J187">
        <f t="shared" si="146"/>
        <v>6</v>
      </c>
      <c r="K187">
        <f t="shared" si="146"/>
        <v>6</v>
      </c>
      <c r="L187">
        <f t="shared" si="146"/>
        <v>6</v>
      </c>
      <c r="M187">
        <f t="shared" si="146"/>
        <v>7</v>
      </c>
      <c r="N187">
        <f t="shared" si="146"/>
        <v>9</v>
      </c>
      <c r="R187">
        <f t="shared" si="125"/>
        <v>3.6412501625558109</v>
      </c>
      <c r="S187">
        <f t="shared" si="126"/>
        <v>3.171411431903449</v>
      </c>
      <c r="T187">
        <f t="shared" si="127"/>
        <v>3.5220741103094046</v>
      </c>
      <c r="U187">
        <f t="shared" si="128"/>
        <v>3.3019444784150673</v>
      </c>
      <c r="V187">
        <f t="shared" si="129"/>
        <v>2.9350617585911705</v>
      </c>
      <c r="W187">
        <f t="shared" si="130"/>
        <v>2.7516203986792225</v>
      </c>
      <c r="X187">
        <f t="shared" si="131"/>
        <v>2.4764583588113007</v>
      </c>
      <c r="Y187">
        <f t="shared" si="132"/>
        <v>2.0319658328708106</v>
      </c>
      <c r="Z187">
        <f t="shared" ref="Z187:AA187" si="147">$R$2/M139</f>
        <v>2.2180950788215932</v>
      </c>
      <c r="AA187">
        <f t="shared" si="147"/>
        <v>1.9005246833576164</v>
      </c>
    </row>
    <row r="188" spans="1:27" x14ac:dyDescent="0.25">
      <c r="A188">
        <f t="shared" si="122"/>
        <v>1.6716417910447761</v>
      </c>
      <c r="B188" s="3">
        <v>112</v>
      </c>
      <c r="C188" s="3">
        <v>67</v>
      </c>
      <c r="E188">
        <f t="shared" ref="E188:N188" si="148">E88+1</f>
        <v>3</v>
      </c>
      <c r="F188">
        <f t="shared" si="124"/>
        <v>3</v>
      </c>
      <c r="G188">
        <f t="shared" si="148"/>
        <v>4</v>
      </c>
      <c r="H188">
        <f t="shared" si="148"/>
        <v>4</v>
      </c>
      <c r="I188">
        <f t="shared" si="148"/>
        <v>4</v>
      </c>
      <c r="J188">
        <f t="shared" si="148"/>
        <v>4</v>
      </c>
      <c r="K188">
        <f t="shared" si="148"/>
        <v>4</v>
      </c>
      <c r="L188">
        <f t="shared" si="148"/>
        <v>4</v>
      </c>
      <c r="M188">
        <f t="shared" si="148"/>
        <v>5</v>
      </c>
      <c r="N188">
        <f t="shared" si="148"/>
        <v>7</v>
      </c>
      <c r="R188">
        <f t="shared" si="125"/>
        <v>5.8253815863328917</v>
      </c>
      <c r="S188">
        <f t="shared" si="126"/>
        <v>5.0737194461609061</v>
      </c>
      <c r="T188">
        <f t="shared" si="127"/>
        <v>6.2600979886989858</v>
      </c>
      <c r="U188">
        <f t="shared" si="128"/>
        <v>5.8688418644053</v>
      </c>
      <c r="V188">
        <f t="shared" si="129"/>
        <v>5.2167483239158221</v>
      </c>
      <c r="W188">
        <f t="shared" si="130"/>
        <v>4.8907015536710832</v>
      </c>
      <c r="X188">
        <f t="shared" si="131"/>
        <v>4.4016313983039748</v>
      </c>
      <c r="Y188">
        <f t="shared" si="132"/>
        <v>3.6115949934801845</v>
      </c>
      <c r="Z188">
        <f t="shared" ref="Z188:AA188" si="149">$R$2/M140</f>
        <v>4.2235396341798754</v>
      </c>
      <c r="AA188">
        <f t="shared" si="149"/>
        <v>3.9396017071607412</v>
      </c>
    </row>
    <row r="189" spans="1:27" x14ac:dyDescent="0.25">
      <c r="A189">
        <f t="shared" si="122"/>
        <v>0.78488372093023251</v>
      </c>
      <c r="B189" s="3">
        <v>135</v>
      </c>
      <c r="C189" s="3">
        <v>172</v>
      </c>
      <c r="E189">
        <f t="shared" ref="E189:N189" si="150">E89+1</f>
        <v>4</v>
      </c>
      <c r="F189">
        <f t="shared" si="124"/>
        <v>4</v>
      </c>
      <c r="G189">
        <f t="shared" si="150"/>
        <v>5</v>
      </c>
      <c r="H189">
        <f t="shared" si="150"/>
        <v>5</v>
      </c>
      <c r="I189">
        <f t="shared" si="150"/>
        <v>5</v>
      </c>
      <c r="J189">
        <f t="shared" si="150"/>
        <v>5</v>
      </c>
      <c r="K189">
        <f t="shared" si="150"/>
        <v>5</v>
      </c>
      <c r="L189">
        <f t="shared" si="150"/>
        <v>5</v>
      </c>
      <c r="M189">
        <f t="shared" si="150"/>
        <v>6</v>
      </c>
      <c r="N189">
        <f t="shared" si="150"/>
        <v>8</v>
      </c>
      <c r="R189">
        <f t="shared" si="125"/>
        <v>3.6741192319730018</v>
      </c>
      <c r="S189">
        <f t="shared" si="126"/>
        <v>3.2000393310732598</v>
      </c>
      <c r="T189">
        <f t="shared" si="127"/>
        <v>3.7017360456547448</v>
      </c>
      <c r="U189">
        <f t="shared" si="128"/>
        <v>3.4703775428013235</v>
      </c>
      <c r="V189">
        <f t="shared" si="129"/>
        <v>3.0847800380456207</v>
      </c>
      <c r="W189">
        <f t="shared" si="130"/>
        <v>2.8919812856677698</v>
      </c>
      <c r="X189">
        <f t="shared" si="131"/>
        <v>2.6027831571009927</v>
      </c>
      <c r="Y189">
        <f t="shared" si="132"/>
        <v>2.1356169494161992</v>
      </c>
      <c r="Z189">
        <f t="shared" ref="Z189:AA189" si="151">$R$2/M141</f>
        <v>2.3977100389060522</v>
      </c>
      <c r="AA189">
        <f t="shared" si="151"/>
        <v>2.1302634162762648</v>
      </c>
    </row>
    <row r="190" spans="1:27" x14ac:dyDescent="0.25">
      <c r="A190">
        <f t="shared" si="122"/>
        <v>0.6908212560386473</v>
      </c>
      <c r="B190" s="3">
        <v>143</v>
      </c>
      <c r="C190" s="3">
        <v>207</v>
      </c>
      <c r="E190">
        <f t="shared" ref="E190:N190" si="152">E90+1</f>
        <v>4</v>
      </c>
      <c r="F190">
        <f t="shared" si="124"/>
        <v>4</v>
      </c>
      <c r="G190">
        <f t="shared" si="152"/>
        <v>5</v>
      </c>
      <c r="H190">
        <f t="shared" si="152"/>
        <v>5</v>
      </c>
      <c r="I190">
        <f t="shared" si="152"/>
        <v>5</v>
      </c>
      <c r="J190">
        <f t="shared" si="152"/>
        <v>5</v>
      </c>
      <c r="K190">
        <f t="shared" si="152"/>
        <v>5</v>
      </c>
      <c r="L190">
        <f t="shared" si="152"/>
        <v>5</v>
      </c>
      <c r="M190">
        <f t="shared" si="152"/>
        <v>6</v>
      </c>
      <c r="N190">
        <f t="shared" si="152"/>
        <v>8</v>
      </c>
      <c r="R190">
        <f t="shared" si="125"/>
        <v>3.2338034220650549</v>
      </c>
      <c r="S190">
        <f t="shared" si="126"/>
        <v>2.8165384643792413</v>
      </c>
      <c r="T190">
        <f t="shared" si="127"/>
        <v>3.258110566431351</v>
      </c>
      <c r="U190">
        <f t="shared" si="128"/>
        <v>3.0544786560293917</v>
      </c>
      <c r="V190">
        <f t="shared" si="129"/>
        <v>2.7150921386927926</v>
      </c>
      <c r="W190">
        <f t="shared" si="130"/>
        <v>2.5453988800244933</v>
      </c>
      <c r="X190">
        <f t="shared" si="131"/>
        <v>2.2908589920220441</v>
      </c>
      <c r="Y190">
        <f t="shared" si="132"/>
        <v>1.8796791729411644</v>
      </c>
      <c r="Z190">
        <f t="shared" ref="Z190:AA190" si="153">$R$2/M142</f>
        <v>2.1103623588095637</v>
      </c>
      <c r="AA190">
        <f t="shared" si="153"/>
        <v>1.8749672208527828</v>
      </c>
    </row>
    <row r="191" spans="1:27" x14ac:dyDescent="0.25">
      <c r="A191">
        <f t="shared" si="122"/>
        <v>0.70731707317073167</v>
      </c>
      <c r="B191" s="3">
        <v>145</v>
      </c>
      <c r="C191" s="3">
        <v>205</v>
      </c>
      <c r="E191">
        <f t="shared" ref="E191:N191" si="154">E91+1</f>
        <v>4</v>
      </c>
      <c r="F191">
        <f t="shared" si="124"/>
        <v>4</v>
      </c>
      <c r="G191">
        <f t="shared" si="154"/>
        <v>5</v>
      </c>
      <c r="H191">
        <f t="shared" si="154"/>
        <v>5</v>
      </c>
      <c r="I191">
        <f t="shared" si="154"/>
        <v>5</v>
      </c>
      <c r="J191">
        <f t="shared" si="154"/>
        <v>5</v>
      </c>
      <c r="K191">
        <f t="shared" si="154"/>
        <v>5</v>
      </c>
      <c r="L191">
        <f t="shared" si="154"/>
        <v>5</v>
      </c>
      <c r="M191">
        <f t="shared" si="154"/>
        <v>6</v>
      </c>
      <c r="N191">
        <f t="shared" si="154"/>
        <v>8</v>
      </c>
      <c r="R191">
        <f t="shared" si="125"/>
        <v>3.3110219926072877</v>
      </c>
      <c r="S191">
        <f t="shared" si="126"/>
        <v>2.8837933483998954</v>
      </c>
      <c r="T191">
        <f t="shared" si="127"/>
        <v>3.3359095565900394</v>
      </c>
      <c r="U191">
        <f t="shared" si="128"/>
        <v>3.127415209303162</v>
      </c>
      <c r="V191">
        <f t="shared" si="129"/>
        <v>2.7799246304917</v>
      </c>
      <c r="W191">
        <f t="shared" si="130"/>
        <v>2.6061793410859684</v>
      </c>
      <c r="X191">
        <f t="shared" si="131"/>
        <v>2.3455614069773718</v>
      </c>
      <c r="Y191">
        <f t="shared" si="132"/>
        <v>1.9245632057250228</v>
      </c>
      <c r="Z191">
        <f t="shared" ref="Z191:AA191" si="155">$R$2/M143</f>
        <v>2.1607547739951922</v>
      </c>
      <c r="AA191">
        <f t="shared" si="155"/>
        <v>1.9197387390037959</v>
      </c>
    </row>
    <row r="192" spans="1:27" x14ac:dyDescent="0.25">
      <c r="A192">
        <f t="shared" si="122"/>
        <v>0.71470588235294119</v>
      </c>
      <c r="B192" s="3">
        <v>243</v>
      </c>
      <c r="C192" s="3">
        <v>340</v>
      </c>
      <c r="E192">
        <f t="shared" ref="E192:N192" si="156">E92+1</f>
        <v>4</v>
      </c>
      <c r="F192">
        <f t="shared" si="124"/>
        <v>4</v>
      </c>
      <c r="G192">
        <f t="shared" si="156"/>
        <v>5</v>
      </c>
      <c r="H192">
        <f t="shared" si="156"/>
        <v>5</v>
      </c>
      <c r="I192">
        <f t="shared" si="156"/>
        <v>5</v>
      </c>
      <c r="J192">
        <f t="shared" si="156"/>
        <v>5</v>
      </c>
      <c r="K192">
        <f t="shared" si="156"/>
        <v>5</v>
      </c>
      <c r="L192">
        <f t="shared" si="156"/>
        <v>5</v>
      </c>
      <c r="M192">
        <f t="shared" si="156"/>
        <v>6</v>
      </c>
      <c r="N192">
        <f t="shared" si="156"/>
        <v>8</v>
      </c>
      <c r="R192">
        <f t="shared" si="125"/>
        <v>3.3456097477024747</v>
      </c>
      <c r="S192">
        <f t="shared" si="126"/>
        <v>2.9139181673537684</v>
      </c>
      <c r="T192">
        <f t="shared" si="127"/>
        <v>3.3707572933373795</v>
      </c>
      <c r="U192">
        <f t="shared" si="128"/>
        <v>3.160084962503793</v>
      </c>
      <c r="V192">
        <f t="shared" si="129"/>
        <v>2.8089644111144825</v>
      </c>
      <c r="W192">
        <f t="shared" si="130"/>
        <v>2.6334041354198283</v>
      </c>
      <c r="X192">
        <f t="shared" si="131"/>
        <v>2.3700637218778451</v>
      </c>
      <c r="Y192">
        <f t="shared" si="132"/>
        <v>1.9446676692331033</v>
      </c>
      <c r="Z192">
        <f t="shared" ref="Z192:AA192" si="157">$R$2/M144</f>
        <v>2.1833265530744521</v>
      </c>
      <c r="AA192">
        <f t="shared" si="157"/>
        <v>1.9397928049386224</v>
      </c>
    </row>
    <row r="193" spans="1:27" x14ac:dyDescent="0.25">
      <c r="A193">
        <f t="shared" si="122"/>
        <v>1.1222707423580787</v>
      </c>
      <c r="B193" s="3">
        <v>257</v>
      </c>
      <c r="C193" s="3">
        <v>229</v>
      </c>
      <c r="E193">
        <f t="shared" ref="E193:N193" si="158">E93+1</f>
        <v>3</v>
      </c>
      <c r="F193">
        <f t="shared" si="124"/>
        <v>3</v>
      </c>
      <c r="G193">
        <f t="shared" si="158"/>
        <v>4</v>
      </c>
      <c r="H193">
        <f t="shared" si="158"/>
        <v>4</v>
      </c>
      <c r="I193">
        <f t="shared" si="158"/>
        <v>4</v>
      </c>
      <c r="J193">
        <f t="shared" si="158"/>
        <v>4</v>
      </c>
      <c r="K193">
        <f t="shared" si="158"/>
        <v>4</v>
      </c>
      <c r="L193">
        <f t="shared" si="158"/>
        <v>4</v>
      </c>
      <c r="M193">
        <f t="shared" si="158"/>
        <v>5</v>
      </c>
      <c r="N193">
        <f t="shared" si="158"/>
        <v>7</v>
      </c>
      <c r="R193">
        <f t="shared" si="125"/>
        <v>3.9109188059523574</v>
      </c>
      <c r="S193">
        <f t="shared" si="126"/>
        <v>3.4062841213133437</v>
      </c>
      <c r="T193">
        <f t="shared" si="127"/>
        <v>4.2027693101765378</v>
      </c>
      <c r="U193">
        <f t="shared" si="128"/>
        <v>3.9400962282905043</v>
      </c>
      <c r="V193">
        <f t="shared" si="129"/>
        <v>3.5023077584804478</v>
      </c>
      <c r="W193">
        <f t="shared" si="130"/>
        <v>3.2834135235754198</v>
      </c>
      <c r="X193">
        <f t="shared" si="131"/>
        <v>2.955072171217878</v>
      </c>
      <c r="Y193">
        <f t="shared" si="132"/>
        <v>2.4246746020249255</v>
      </c>
      <c r="Z193">
        <f t="shared" ref="Z193:AA193" si="159">$R$2/M145</f>
        <v>2.8355087710910505</v>
      </c>
      <c r="AA193">
        <f t="shared" si="159"/>
        <v>2.6448846614005301</v>
      </c>
    </row>
    <row r="194" spans="1:27" x14ac:dyDescent="0.25">
      <c r="A194">
        <f t="shared" si="122"/>
        <v>0.85550458715596334</v>
      </c>
      <c r="B194" s="3">
        <v>373</v>
      </c>
      <c r="C194" s="3">
        <v>436</v>
      </c>
      <c r="E194">
        <f t="shared" ref="E194:N194" si="160">E94+1</f>
        <v>4</v>
      </c>
      <c r="F194">
        <f t="shared" si="124"/>
        <v>4</v>
      </c>
      <c r="G194">
        <f t="shared" si="160"/>
        <v>5</v>
      </c>
      <c r="H194">
        <f t="shared" si="160"/>
        <v>5</v>
      </c>
      <c r="I194">
        <f t="shared" si="160"/>
        <v>5</v>
      </c>
      <c r="J194">
        <f t="shared" si="160"/>
        <v>5</v>
      </c>
      <c r="K194">
        <f t="shared" si="160"/>
        <v>5</v>
      </c>
      <c r="L194">
        <f t="shared" si="160"/>
        <v>5</v>
      </c>
      <c r="M194">
        <f t="shared" si="160"/>
        <v>6</v>
      </c>
      <c r="N194">
        <f t="shared" si="160"/>
        <v>8</v>
      </c>
      <c r="R194">
        <f t="shared" si="125"/>
        <v>4.0047025729945629</v>
      </c>
      <c r="S194">
        <f t="shared" si="126"/>
        <v>3.4879667571242967</v>
      </c>
      <c r="T194">
        <f t="shared" si="127"/>
        <v>4.034804243034757</v>
      </c>
      <c r="U194">
        <f t="shared" si="128"/>
        <v>3.7826289778450857</v>
      </c>
      <c r="V194">
        <f t="shared" si="129"/>
        <v>3.3623368691956319</v>
      </c>
      <c r="W194">
        <f t="shared" si="130"/>
        <v>3.152190814870905</v>
      </c>
      <c r="X194">
        <f t="shared" si="131"/>
        <v>2.8369717333838143</v>
      </c>
      <c r="Y194">
        <f t="shared" si="132"/>
        <v>2.3277716786738987</v>
      </c>
      <c r="Z194">
        <f t="shared" ref="Z194:AA194" si="161">$R$2/M146</f>
        <v>2.6134469122673583</v>
      </c>
      <c r="AA194">
        <f t="shared" si="161"/>
        <v>2.3219364548865116</v>
      </c>
    </row>
    <row r="195" spans="1:27" x14ac:dyDescent="0.25">
      <c r="A195">
        <f t="shared" si="122"/>
        <v>0.52222222222222225</v>
      </c>
      <c r="B195" s="3">
        <v>752</v>
      </c>
      <c r="C195" s="3">
        <v>1440</v>
      </c>
      <c r="E195">
        <f t="shared" ref="E195:N195" si="162">E95+1</f>
        <v>5</v>
      </c>
      <c r="F195">
        <f t="shared" si="124"/>
        <v>5</v>
      </c>
      <c r="G195">
        <f t="shared" si="162"/>
        <v>6</v>
      </c>
      <c r="H195">
        <f t="shared" si="162"/>
        <v>6</v>
      </c>
      <c r="I195">
        <f t="shared" si="162"/>
        <v>6</v>
      </c>
      <c r="J195">
        <f t="shared" si="162"/>
        <v>6</v>
      </c>
      <c r="K195">
        <f t="shared" si="162"/>
        <v>6</v>
      </c>
      <c r="L195">
        <f t="shared" si="162"/>
        <v>6</v>
      </c>
      <c r="M195">
        <f t="shared" si="162"/>
        <v>7</v>
      </c>
      <c r="N195">
        <f t="shared" si="162"/>
        <v>9</v>
      </c>
      <c r="R195">
        <f t="shared" si="125"/>
        <v>3.0786866453778763</v>
      </c>
      <c r="S195">
        <f t="shared" si="126"/>
        <v>2.6814367556516987</v>
      </c>
      <c r="T195">
        <f t="shared" si="127"/>
        <v>2.9779229779229781</v>
      </c>
      <c r="U195">
        <f t="shared" si="128"/>
        <v>2.7918027918027923</v>
      </c>
      <c r="V195">
        <f t="shared" si="129"/>
        <v>2.481602481602482</v>
      </c>
      <c r="W195">
        <f t="shared" si="130"/>
        <v>2.3265023265023266</v>
      </c>
      <c r="X195">
        <f t="shared" si="131"/>
        <v>2.0938520938520941</v>
      </c>
      <c r="Y195">
        <f t="shared" si="132"/>
        <v>1.7180324872632566</v>
      </c>
      <c r="Z195">
        <f t="shared" ref="Z195:AA195" si="163">$R$2/M147</f>
        <v>1.8754052571200561</v>
      </c>
      <c r="AA195">
        <f t="shared" si="163"/>
        <v>1.6068986476219422</v>
      </c>
    </row>
    <row r="201" spans="1:27" x14ac:dyDescent="0.25">
      <c r="A201" s="6" t="s">
        <v>32</v>
      </c>
      <c r="E201" s="1" t="s">
        <v>31</v>
      </c>
      <c r="G201" s="2"/>
      <c r="H201" s="2"/>
      <c r="I201" s="2"/>
      <c r="J201" s="2"/>
      <c r="K201" s="2"/>
      <c r="P201" s="2"/>
      <c r="Q201" s="2"/>
    </row>
    <row r="202" spans="1:27" x14ac:dyDescent="0.25">
      <c r="E202" s="1" t="s">
        <v>3</v>
      </c>
      <c r="G202" s="2"/>
      <c r="H202" s="2"/>
      <c r="I202" s="2"/>
      <c r="J202" s="2"/>
      <c r="K202" s="2"/>
      <c r="P202" s="2"/>
      <c r="Q202" s="2"/>
    </row>
    <row r="203" spans="1:27" x14ac:dyDescent="0.25">
      <c r="E203" s="3">
        <v>1</v>
      </c>
      <c r="F203" s="3">
        <v>8</v>
      </c>
      <c r="G203" s="3">
        <v>5</v>
      </c>
      <c r="H203" s="3">
        <v>4</v>
      </c>
      <c r="I203" s="3">
        <v>3</v>
      </c>
      <c r="J203" s="3">
        <v>16</v>
      </c>
      <c r="K203" s="3">
        <v>16</v>
      </c>
      <c r="L203" s="3">
        <v>19.5</v>
      </c>
      <c r="M203" s="3">
        <v>21</v>
      </c>
      <c r="N203" s="3">
        <v>32</v>
      </c>
      <c r="O203" s="3"/>
      <c r="Q203" s="3">
        <v>1</v>
      </c>
      <c r="R203" s="3">
        <v>8</v>
      </c>
      <c r="S203" s="3">
        <v>5</v>
      </c>
      <c r="T203" s="3">
        <v>4</v>
      </c>
      <c r="U203" s="3">
        <v>3</v>
      </c>
      <c r="V203" s="3">
        <v>16</v>
      </c>
      <c r="W203" s="3">
        <v>16</v>
      </c>
      <c r="X203" s="3">
        <v>19.5</v>
      </c>
      <c r="Y203" s="3">
        <v>21</v>
      </c>
      <c r="Z203" s="3">
        <v>32</v>
      </c>
    </row>
    <row r="204" spans="1:27" x14ac:dyDescent="0.25">
      <c r="E204" s="3">
        <v>1</v>
      </c>
      <c r="F204" s="3">
        <v>7</v>
      </c>
      <c r="G204" s="3">
        <v>4</v>
      </c>
      <c r="H204" s="3">
        <v>3</v>
      </c>
      <c r="I204" s="3">
        <v>2</v>
      </c>
      <c r="J204" s="3">
        <v>10</v>
      </c>
      <c r="K204" s="3">
        <v>9</v>
      </c>
      <c r="L204" s="3">
        <v>9</v>
      </c>
      <c r="M204" s="3">
        <v>9</v>
      </c>
      <c r="N204" s="3">
        <v>9</v>
      </c>
      <c r="O204" s="3"/>
      <c r="Q204" s="3">
        <v>1</v>
      </c>
      <c r="R204" s="3">
        <v>7</v>
      </c>
      <c r="S204" s="3">
        <v>4</v>
      </c>
      <c r="T204" s="3">
        <v>3</v>
      </c>
      <c r="U204" s="3">
        <v>2</v>
      </c>
      <c r="V204" s="3">
        <v>10</v>
      </c>
      <c r="W204" s="3">
        <v>9</v>
      </c>
      <c r="X204" s="3">
        <v>9</v>
      </c>
      <c r="Y204" s="3">
        <v>9</v>
      </c>
      <c r="Z204" s="3">
        <v>9</v>
      </c>
    </row>
    <row r="205" spans="1:27" x14ac:dyDescent="0.25">
      <c r="D205" s="3" t="s">
        <v>0</v>
      </c>
      <c r="E205" s="3">
        <v>720</v>
      </c>
      <c r="F205">
        <v>1240</v>
      </c>
      <c r="G205" s="3">
        <v>900</v>
      </c>
      <c r="H205" s="3">
        <v>960</v>
      </c>
      <c r="I205" s="3">
        <v>1080</v>
      </c>
      <c r="J205" s="3">
        <v>1152</v>
      </c>
      <c r="K205" s="3">
        <v>1280</v>
      </c>
      <c r="L205" s="3">
        <v>1560</v>
      </c>
      <c r="M205" s="3">
        <v>1680</v>
      </c>
      <c r="N205">
        <v>2560</v>
      </c>
    </row>
    <row r="206" spans="1:27" x14ac:dyDescent="0.25">
      <c r="B206" s="2" t="s">
        <v>0</v>
      </c>
      <c r="C206" s="2" t="s">
        <v>1</v>
      </c>
      <c r="D206" s="3" t="s">
        <v>1</v>
      </c>
      <c r="E206" s="3">
        <v>720</v>
      </c>
      <c r="F206" s="3">
        <v>1080</v>
      </c>
      <c r="G206" s="3">
        <v>720</v>
      </c>
      <c r="H206" s="3">
        <v>720</v>
      </c>
      <c r="I206" s="3">
        <v>720</v>
      </c>
      <c r="J206" s="3">
        <v>720</v>
      </c>
      <c r="K206" s="3">
        <v>720</v>
      </c>
      <c r="L206" s="3">
        <v>720</v>
      </c>
      <c r="M206" s="3">
        <v>720</v>
      </c>
      <c r="N206" s="3">
        <v>720</v>
      </c>
      <c r="O206" s="3"/>
      <c r="Q206" s="5" t="str">
        <f>Q106</f>
        <v>752-1440</v>
      </c>
      <c r="S206" t="s">
        <v>16</v>
      </c>
    </row>
    <row r="207" spans="1:27" x14ac:dyDescent="0.25">
      <c r="A207">
        <f>B207/C207</f>
        <v>1</v>
      </c>
      <c r="B207" s="3">
        <v>1</v>
      </c>
      <c r="C207" s="3">
        <v>1</v>
      </c>
      <c r="E207">
        <f>($R$1-((E279-1)*$L$1))/(E279)-$U$1</f>
        <v>0.13569999999999999</v>
      </c>
      <c r="F207">
        <f t="shared" ref="F207:N207" si="164">($R$1-((F279-1)*$L$1))/(F279)-$U$1</f>
        <v>0.13569999999999999</v>
      </c>
      <c r="G207">
        <f t="shared" si="164"/>
        <v>0.11223333333333332</v>
      </c>
      <c r="H207">
        <f t="shared" si="164"/>
        <v>0.11223333333333332</v>
      </c>
      <c r="I207">
        <f t="shared" si="164"/>
        <v>0.11223333333333332</v>
      </c>
      <c r="J207">
        <f t="shared" si="164"/>
        <v>0.11223333333333332</v>
      </c>
      <c r="K207">
        <f t="shared" si="164"/>
        <v>0.11223333333333332</v>
      </c>
      <c r="L207">
        <f t="shared" si="164"/>
        <v>0.11223333333333332</v>
      </c>
      <c r="M207">
        <f t="shared" si="164"/>
        <v>9.5471428571428554E-2</v>
      </c>
      <c r="N207">
        <f t="shared" si="164"/>
        <v>7.3122222222222213E-2</v>
      </c>
      <c r="Q207" t="str">
        <f t="shared" ref="Q207:Z207" ca="1" si="165">"&lt;gridItemSize&gt;"&amp;ROUNDDOWN((OFFSET(E$207,(MATCH($Q$206,$AG$3:$AG$19,0)-1),0)),5)&amp;" "&amp;ROUNDDOWN((OFFSET(E$231,(MATCH($Q$206,$AG$3:$AG$19,0)-1),0)),5)&amp;"&lt;/gridItemSize&gt;"</f>
        <v>&lt;gridItemSize&gt;0.11223 0.21491&lt;/gridItemSize&gt;</v>
      </c>
      <c r="R207" t="str">
        <f t="shared" ca="1" si="165"/>
        <v>&lt;gridItemSize&gt;0.11223 0.24675&lt;/gridItemSize&gt;</v>
      </c>
      <c r="S207" t="str">
        <f t="shared" ca="1" si="165"/>
        <v>&lt;gridItemSize&gt;0.09547 0.22852&lt;/gridItemSize&gt;</v>
      </c>
      <c r="T207" t="str">
        <f t="shared" ca="1" si="165"/>
        <v>&lt;gridItemSize&gt;0.09547 0.24375&lt;/gridItemSize&gt;</v>
      </c>
      <c r="U207" t="str">
        <f t="shared" ca="1" si="165"/>
        <v>&lt;gridItemSize&gt;0.09547 0.27422&lt;/gridItemSize&gt;</v>
      </c>
      <c r="V207" t="str">
        <f t="shared" ca="1" si="165"/>
        <v>&lt;gridItemSize&gt;0.09547 0.2925&lt;/gridItemSize&gt;</v>
      </c>
      <c r="W207" t="str">
        <f t="shared" ca="1" si="165"/>
        <v>&lt;gridItemSize&gt;0.09547 0.325&lt;/gridItemSize&gt;</v>
      </c>
      <c r="X207" t="str">
        <f t="shared" ca="1" si="165"/>
        <v>&lt;gridItemSize&gt;0.09547 0.3961&lt;/gridItemSize&gt;</v>
      </c>
      <c r="Y207" t="str">
        <f t="shared" ca="1" si="165"/>
        <v>&lt;gridItemSize&gt;0.0829 0.3704&lt;/gridItemSize&gt;</v>
      </c>
      <c r="Z207" t="str">
        <f t="shared" ca="1" si="165"/>
        <v>&lt;gridItemSize&gt;0.0653 0.44459&lt;/gridItemSize&gt;</v>
      </c>
    </row>
    <row r="208" spans="1:27" x14ac:dyDescent="0.25">
      <c r="A208">
        <f t="shared" ref="A208:A223" si="166">B208/C208</f>
        <v>0.5</v>
      </c>
      <c r="B208" s="3">
        <v>1</v>
      </c>
      <c r="C208" s="3">
        <v>2</v>
      </c>
      <c r="E208">
        <f t="shared" ref="E208:N208" si="167">($R$1-((E280-1)*$L$1))/(E280)-$U$1</f>
        <v>0.11223333333333332</v>
      </c>
      <c r="F208">
        <f t="shared" si="167"/>
        <v>0.11223333333333332</v>
      </c>
      <c r="G208">
        <f t="shared" si="167"/>
        <v>9.5471428571428554E-2</v>
      </c>
      <c r="H208">
        <f t="shared" si="167"/>
        <v>9.5471428571428554E-2</v>
      </c>
      <c r="I208">
        <f t="shared" si="167"/>
        <v>9.5471428571428554E-2</v>
      </c>
      <c r="J208">
        <f t="shared" si="167"/>
        <v>9.5471428571428554E-2</v>
      </c>
      <c r="K208">
        <f t="shared" si="167"/>
        <v>9.5471428571428554E-2</v>
      </c>
      <c r="L208">
        <f t="shared" si="167"/>
        <v>9.5471428571428554E-2</v>
      </c>
      <c r="M208">
        <f t="shared" si="167"/>
        <v>8.2899999999999988E-2</v>
      </c>
      <c r="N208">
        <f t="shared" si="167"/>
        <v>6.5299999999999983E-2</v>
      </c>
      <c r="Q208" t="str">
        <f t="shared" ref="Q208:Z208" ca="1" si="168">"&lt;gridItemSpacing&gt;"&amp;$L$1&amp;" "&amp;ROUNDDOWN((OFFSET(E$255,(MATCH($Q$206,$AG$3:$AG$19,0)-1),0)),5)&amp;"&lt;/gridItemSpacing&gt;"</f>
        <v>&lt;gridItemSpacing&gt;0.005 0.005&lt;/gridItemSpacing&gt;</v>
      </c>
      <c r="R208" t="str">
        <f t="shared" ca="1" si="168"/>
        <v>&lt;gridItemSpacing&gt;0.005 0.00574&lt;/gridItemSpacing&gt;</v>
      </c>
      <c r="S208" t="str">
        <f t="shared" ca="1" si="168"/>
        <v>&lt;gridItemSpacing&gt;0.005 0.00625&lt;/gridItemSpacing&gt;</v>
      </c>
      <c r="T208" t="str">
        <f t="shared" ca="1" si="168"/>
        <v>&lt;gridItemSpacing&gt;0.005 0.00666&lt;/gridItemSpacing&gt;</v>
      </c>
      <c r="U208" t="str">
        <f t="shared" ca="1" si="168"/>
        <v>&lt;gridItemSpacing&gt;0.005 0.0075&lt;/gridItemSpacing&gt;</v>
      </c>
      <c r="V208" t="str">
        <f t="shared" ca="1" si="168"/>
        <v>&lt;gridItemSpacing&gt;0.005 0.008&lt;/gridItemSpacing&gt;</v>
      </c>
      <c r="W208" t="str">
        <f t="shared" ca="1" si="168"/>
        <v>&lt;gridItemSpacing&gt;0.005 0.00888&lt;/gridItemSpacing&gt;</v>
      </c>
      <c r="X208" t="str">
        <f t="shared" ca="1" si="168"/>
        <v>&lt;gridItemSpacing&gt;0.005 0.01083&lt;/gridItemSpacing&gt;</v>
      </c>
      <c r="Y208" t="str">
        <f t="shared" ca="1" si="168"/>
        <v>&lt;gridItemSpacing&gt;0.005 0.01166&lt;/gridItemSpacing&gt;</v>
      </c>
      <c r="Z208" t="str">
        <f t="shared" ca="1" si="168"/>
        <v>&lt;gridItemSpacing&gt;0.005 0.01777&lt;/gridItemSpacing&gt;</v>
      </c>
    </row>
    <row r="209" spans="1:24" x14ac:dyDescent="0.25">
      <c r="A209">
        <f t="shared" si="166"/>
        <v>0.66666666666666663</v>
      </c>
      <c r="B209" s="3">
        <v>2</v>
      </c>
      <c r="C209" s="3">
        <v>3</v>
      </c>
      <c r="E209">
        <f t="shared" ref="E209:N209" si="169">($R$1-((E281-1)*$L$1))/(E281)-$U$1</f>
        <v>0.13569999999999999</v>
      </c>
      <c r="F209">
        <f t="shared" si="169"/>
        <v>0.13569999999999999</v>
      </c>
      <c r="G209">
        <f t="shared" si="169"/>
        <v>0.11223333333333332</v>
      </c>
      <c r="H209">
        <f t="shared" si="169"/>
        <v>0.11223333333333332</v>
      </c>
      <c r="I209">
        <f t="shared" si="169"/>
        <v>0.11223333333333332</v>
      </c>
      <c r="J209">
        <f t="shared" si="169"/>
        <v>0.11223333333333332</v>
      </c>
      <c r="K209">
        <f t="shared" si="169"/>
        <v>0.11223333333333332</v>
      </c>
      <c r="L209">
        <f t="shared" si="169"/>
        <v>0.11223333333333332</v>
      </c>
      <c r="M209">
        <f t="shared" si="169"/>
        <v>9.5471428571428554E-2</v>
      </c>
      <c r="N209">
        <f t="shared" si="169"/>
        <v>7.3122222222222213E-2</v>
      </c>
    </row>
    <row r="210" spans="1:24" x14ac:dyDescent="0.25">
      <c r="A210">
        <f t="shared" si="166"/>
        <v>0.75</v>
      </c>
      <c r="B210" s="3">
        <v>3</v>
      </c>
      <c r="C210" s="3">
        <v>4</v>
      </c>
      <c r="E210">
        <f t="shared" ref="E210:N210" si="170">($R$1-((E282-1)*$L$1))/(E282)-$U$1</f>
        <v>0.13569999999999999</v>
      </c>
      <c r="F210">
        <f t="shared" si="170"/>
        <v>0.13569999999999999</v>
      </c>
      <c r="G210">
        <f t="shared" si="170"/>
        <v>0.11223333333333332</v>
      </c>
      <c r="H210">
        <f t="shared" si="170"/>
        <v>0.11223333333333332</v>
      </c>
      <c r="I210">
        <f t="shared" si="170"/>
        <v>0.11223333333333332</v>
      </c>
      <c r="J210">
        <f t="shared" si="170"/>
        <v>0.11223333333333332</v>
      </c>
      <c r="K210">
        <f t="shared" si="170"/>
        <v>0.11223333333333332</v>
      </c>
      <c r="L210">
        <f t="shared" si="170"/>
        <v>0.11223333333333332</v>
      </c>
      <c r="M210">
        <f t="shared" si="170"/>
        <v>9.5471428571428554E-2</v>
      </c>
      <c r="N210">
        <f t="shared" si="170"/>
        <v>7.3122222222222213E-2</v>
      </c>
    </row>
    <row r="211" spans="1:24" x14ac:dyDescent="0.25">
      <c r="A211">
        <f t="shared" si="166"/>
        <v>0.6</v>
      </c>
      <c r="B211" s="3">
        <v>3</v>
      </c>
      <c r="C211" s="3">
        <v>5</v>
      </c>
      <c r="E211">
        <f t="shared" ref="E211:N211" si="171">($R$1-((E283-1)*$L$1))/(E283)-$U$1</f>
        <v>0.11223333333333332</v>
      </c>
      <c r="F211">
        <f t="shared" si="171"/>
        <v>0.11223333333333332</v>
      </c>
      <c r="G211">
        <f t="shared" si="171"/>
        <v>9.5471428571428554E-2</v>
      </c>
      <c r="H211">
        <f t="shared" si="171"/>
        <v>9.5471428571428554E-2</v>
      </c>
      <c r="I211">
        <f t="shared" si="171"/>
        <v>9.5471428571428554E-2</v>
      </c>
      <c r="J211">
        <f t="shared" si="171"/>
        <v>9.5471428571428554E-2</v>
      </c>
      <c r="K211">
        <f t="shared" si="171"/>
        <v>9.5471428571428554E-2</v>
      </c>
      <c r="L211">
        <f t="shared" si="171"/>
        <v>9.5471428571428554E-2</v>
      </c>
      <c r="M211">
        <f t="shared" si="171"/>
        <v>8.2899999999999988E-2</v>
      </c>
      <c r="N211">
        <f t="shared" si="171"/>
        <v>6.5299999999999983E-2</v>
      </c>
      <c r="Q211" s="4"/>
      <c r="R211" s="4"/>
      <c r="S211" s="4"/>
      <c r="T211" s="4"/>
      <c r="U211" s="4"/>
      <c r="V211" s="4"/>
      <c r="W211" s="4"/>
      <c r="X211" s="4"/>
    </row>
    <row r="212" spans="1:24" x14ac:dyDescent="0.25">
      <c r="A212">
        <f t="shared" si="166"/>
        <v>1.3333333333333333</v>
      </c>
      <c r="B212" s="3">
        <v>4</v>
      </c>
      <c r="C212" s="3">
        <v>3</v>
      </c>
      <c r="E212">
        <f t="shared" ref="E212:N212" si="172">($R$1-((E284-1)*$L$1))/(E284)-$U$1</f>
        <v>0.1709</v>
      </c>
      <c r="F212">
        <f t="shared" si="172"/>
        <v>0.1709</v>
      </c>
      <c r="G212">
        <f t="shared" si="172"/>
        <v>0.13569999999999999</v>
      </c>
      <c r="H212">
        <f t="shared" si="172"/>
        <v>0.13569999999999999</v>
      </c>
      <c r="I212">
        <f t="shared" si="172"/>
        <v>0.13569999999999999</v>
      </c>
      <c r="J212">
        <f t="shared" si="172"/>
        <v>0.13569999999999999</v>
      </c>
      <c r="K212">
        <f t="shared" si="172"/>
        <v>0.13569999999999999</v>
      </c>
      <c r="L212">
        <f t="shared" si="172"/>
        <v>0.13569999999999999</v>
      </c>
      <c r="M212">
        <f t="shared" si="172"/>
        <v>0.11223333333333332</v>
      </c>
      <c r="N212">
        <f t="shared" si="172"/>
        <v>8.2899999999999988E-2</v>
      </c>
    </row>
    <row r="213" spans="1:24" x14ac:dyDescent="0.25">
      <c r="A213">
        <f t="shared" si="166"/>
        <v>0.7142857142857143</v>
      </c>
      <c r="B213" s="3">
        <v>5</v>
      </c>
      <c r="C213" s="3">
        <v>7</v>
      </c>
      <c r="E213">
        <f t="shared" ref="E213:N213" si="173">($R$1-((E285-1)*$L$1))/(E285)-$U$1</f>
        <v>0.13569999999999999</v>
      </c>
      <c r="F213">
        <f t="shared" si="173"/>
        <v>0.13569999999999999</v>
      </c>
      <c r="G213">
        <f t="shared" si="173"/>
        <v>0.11223333333333332</v>
      </c>
      <c r="H213">
        <f t="shared" si="173"/>
        <v>0.11223333333333332</v>
      </c>
      <c r="I213">
        <f t="shared" si="173"/>
        <v>0.11223333333333332</v>
      </c>
      <c r="J213">
        <f t="shared" si="173"/>
        <v>0.11223333333333332</v>
      </c>
      <c r="K213">
        <f t="shared" si="173"/>
        <v>0.11223333333333332</v>
      </c>
      <c r="L213">
        <f t="shared" si="173"/>
        <v>0.11223333333333332</v>
      </c>
      <c r="M213">
        <f t="shared" si="173"/>
        <v>9.5471428571428554E-2</v>
      </c>
      <c r="N213">
        <f t="shared" si="173"/>
        <v>7.3122222222222213E-2</v>
      </c>
    </row>
    <row r="214" spans="1:24" x14ac:dyDescent="0.25">
      <c r="A214">
        <f t="shared" si="166"/>
        <v>0.5892857142857143</v>
      </c>
      <c r="B214" s="3">
        <v>99</v>
      </c>
      <c r="C214" s="3">
        <v>168</v>
      </c>
      <c r="E214">
        <f t="shared" ref="E214:N214" si="174">($R$1-((E286-1)*$L$1))/(E286)-$U$1</f>
        <v>0.11223333333333332</v>
      </c>
      <c r="F214">
        <f t="shared" si="174"/>
        <v>0.11223333333333332</v>
      </c>
      <c r="G214">
        <f t="shared" si="174"/>
        <v>9.5471428571428554E-2</v>
      </c>
      <c r="H214">
        <f t="shared" si="174"/>
        <v>9.5471428571428554E-2</v>
      </c>
      <c r="I214">
        <f t="shared" si="174"/>
        <v>9.5471428571428554E-2</v>
      </c>
      <c r="J214">
        <f t="shared" si="174"/>
        <v>9.5471428571428554E-2</v>
      </c>
      <c r="K214">
        <f t="shared" si="174"/>
        <v>9.5471428571428554E-2</v>
      </c>
      <c r="L214">
        <f t="shared" si="174"/>
        <v>9.5471428571428554E-2</v>
      </c>
      <c r="M214">
        <f t="shared" si="174"/>
        <v>8.2899999999999988E-2</v>
      </c>
      <c r="N214">
        <f t="shared" si="174"/>
        <v>6.5299999999999983E-2</v>
      </c>
    </row>
    <row r="215" spans="1:24" x14ac:dyDescent="0.25">
      <c r="A215">
        <f t="shared" si="166"/>
        <v>0.61764705882352944</v>
      </c>
      <c r="B215" s="3">
        <v>105</v>
      </c>
      <c r="C215" s="3">
        <v>170</v>
      </c>
      <c r="E215">
        <f t="shared" ref="E215:N215" si="175">($R$1-((E287-1)*$L$1))/(E287)-$U$1</f>
        <v>0.11223333333333332</v>
      </c>
      <c r="F215">
        <f t="shared" si="175"/>
        <v>0.11223333333333332</v>
      </c>
      <c r="G215">
        <f t="shared" si="175"/>
        <v>9.5471428571428554E-2</v>
      </c>
      <c r="H215">
        <f t="shared" si="175"/>
        <v>9.5471428571428554E-2</v>
      </c>
      <c r="I215">
        <f t="shared" si="175"/>
        <v>9.5471428571428554E-2</v>
      </c>
      <c r="J215">
        <f t="shared" si="175"/>
        <v>9.5471428571428554E-2</v>
      </c>
      <c r="K215">
        <f t="shared" si="175"/>
        <v>9.5471428571428554E-2</v>
      </c>
      <c r="L215">
        <f t="shared" si="175"/>
        <v>9.5471428571428554E-2</v>
      </c>
      <c r="M215">
        <f t="shared" si="175"/>
        <v>8.2899999999999988E-2</v>
      </c>
      <c r="N215">
        <f t="shared" si="175"/>
        <v>6.5299999999999983E-2</v>
      </c>
    </row>
    <row r="216" spans="1:24" x14ac:dyDescent="0.25">
      <c r="A216">
        <f t="shared" si="166"/>
        <v>1.6716417910447761</v>
      </c>
      <c r="B216" s="3">
        <v>112</v>
      </c>
      <c r="C216" s="3">
        <v>67</v>
      </c>
      <c r="E216">
        <f t="shared" ref="E216:N216" si="176">($R$1-((E288-1)*$L$1))/(E288)-$U$1</f>
        <v>0.1709</v>
      </c>
      <c r="F216">
        <f t="shared" si="176"/>
        <v>0.1709</v>
      </c>
      <c r="G216">
        <f t="shared" si="176"/>
        <v>0.13569999999999999</v>
      </c>
      <c r="H216">
        <f t="shared" si="176"/>
        <v>0.13569999999999999</v>
      </c>
      <c r="I216">
        <f t="shared" si="176"/>
        <v>0.13569999999999999</v>
      </c>
      <c r="J216">
        <f t="shared" si="176"/>
        <v>0.13569999999999999</v>
      </c>
      <c r="K216">
        <f t="shared" si="176"/>
        <v>0.13569999999999999</v>
      </c>
      <c r="L216">
        <f t="shared" si="176"/>
        <v>0.13569999999999999</v>
      </c>
      <c r="M216">
        <f t="shared" si="176"/>
        <v>0.11223333333333332</v>
      </c>
      <c r="N216">
        <f t="shared" si="176"/>
        <v>8.2899999999999988E-2</v>
      </c>
    </row>
    <row r="217" spans="1:24" x14ac:dyDescent="0.25">
      <c r="A217">
        <f t="shared" si="166"/>
        <v>0.78488372093023251</v>
      </c>
      <c r="B217" s="3">
        <v>135</v>
      </c>
      <c r="C217" s="3">
        <v>172</v>
      </c>
      <c r="E217">
        <f t="shared" ref="E217:N217" si="177">($R$1-((E289-1)*$L$1))/(E289)-$U$1</f>
        <v>0.13569999999999999</v>
      </c>
      <c r="F217">
        <f t="shared" si="177"/>
        <v>0.13569999999999999</v>
      </c>
      <c r="G217">
        <f t="shared" si="177"/>
        <v>0.11223333333333332</v>
      </c>
      <c r="H217">
        <f t="shared" si="177"/>
        <v>0.11223333333333332</v>
      </c>
      <c r="I217">
        <f t="shared" si="177"/>
        <v>0.11223333333333332</v>
      </c>
      <c r="J217">
        <f t="shared" si="177"/>
        <v>0.11223333333333332</v>
      </c>
      <c r="K217">
        <f t="shared" si="177"/>
        <v>0.11223333333333332</v>
      </c>
      <c r="L217">
        <f t="shared" si="177"/>
        <v>0.11223333333333332</v>
      </c>
      <c r="M217">
        <f t="shared" si="177"/>
        <v>9.5471428571428554E-2</v>
      </c>
      <c r="N217">
        <f t="shared" si="177"/>
        <v>7.3122222222222213E-2</v>
      </c>
    </row>
    <row r="218" spans="1:24" x14ac:dyDescent="0.25">
      <c r="A218">
        <f t="shared" si="166"/>
        <v>0.6908212560386473</v>
      </c>
      <c r="B218" s="3">
        <v>143</v>
      </c>
      <c r="C218" s="3">
        <v>207</v>
      </c>
      <c r="E218">
        <f t="shared" ref="E218:N218" si="178">($R$1-((E290-1)*$L$1))/(E290)-$U$1</f>
        <v>0.13569999999999999</v>
      </c>
      <c r="F218">
        <f t="shared" si="178"/>
        <v>0.13569999999999999</v>
      </c>
      <c r="G218">
        <f t="shared" si="178"/>
        <v>0.11223333333333332</v>
      </c>
      <c r="H218">
        <f t="shared" si="178"/>
        <v>0.11223333333333332</v>
      </c>
      <c r="I218">
        <f t="shared" si="178"/>
        <v>0.11223333333333332</v>
      </c>
      <c r="J218">
        <f t="shared" si="178"/>
        <v>0.11223333333333332</v>
      </c>
      <c r="K218">
        <f t="shared" si="178"/>
        <v>0.11223333333333332</v>
      </c>
      <c r="L218">
        <f t="shared" si="178"/>
        <v>0.11223333333333332</v>
      </c>
      <c r="M218">
        <f t="shared" si="178"/>
        <v>9.5471428571428554E-2</v>
      </c>
      <c r="N218">
        <f t="shared" si="178"/>
        <v>7.3122222222222213E-2</v>
      </c>
    </row>
    <row r="219" spans="1:24" x14ac:dyDescent="0.25">
      <c r="A219">
        <f t="shared" si="166"/>
        <v>0.70731707317073167</v>
      </c>
      <c r="B219" s="3">
        <v>145</v>
      </c>
      <c r="C219" s="3">
        <v>205</v>
      </c>
      <c r="E219">
        <f t="shared" ref="E219:N219" si="179">($R$1-((E291-1)*$L$1))/(E291)-$U$1</f>
        <v>0.13569999999999999</v>
      </c>
      <c r="F219">
        <f t="shared" si="179"/>
        <v>0.13569999999999999</v>
      </c>
      <c r="G219">
        <f t="shared" si="179"/>
        <v>0.11223333333333332</v>
      </c>
      <c r="H219">
        <f t="shared" si="179"/>
        <v>0.11223333333333332</v>
      </c>
      <c r="I219">
        <f t="shared" si="179"/>
        <v>0.11223333333333332</v>
      </c>
      <c r="J219">
        <f t="shared" si="179"/>
        <v>0.11223333333333332</v>
      </c>
      <c r="K219">
        <f t="shared" si="179"/>
        <v>0.11223333333333332</v>
      </c>
      <c r="L219">
        <f t="shared" si="179"/>
        <v>0.11223333333333332</v>
      </c>
      <c r="M219">
        <f t="shared" si="179"/>
        <v>9.5471428571428554E-2</v>
      </c>
      <c r="N219">
        <f t="shared" si="179"/>
        <v>7.3122222222222213E-2</v>
      </c>
    </row>
    <row r="220" spans="1:24" x14ac:dyDescent="0.25">
      <c r="A220">
        <f t="shared" si="166"/>
        <v>0.71470588235294119</v>
      </c>
      <c r="B220" s="3">
        <v>243</v>
      </c>
      <c r="C220" s="3">
        <v>340</v>
      </c>
      <c r="E220">
        <f t="shared" ref="E220:N220" si="180">($R$1-((E292-1)*$L$1))/(E292)-$U$1</f>
        <v>0.13569999999999999</v>
      </c>
      <c r="F220">
        <f t="shared" si="180"/>
        <v>0.13569999999999999</v>
      </c>
      <c r="G220">
        <f t="shared" si="180"/>
        <v>0.11223333333333332</v>
      </c>
      <c r="H220">
        <f t="shared" si="180"/>
        <v>0.11223333333333332</v>
      </c>
      <c r="I220">
        <f t="shared" si="180"/>
        <v>0.11223333333333332</v>
      </c>
      <c r="J220">
        <f t="shared" si="180"/>
        <v>0.11223333333333332</v>
      </c>
      <c r="K220">
        <f t="shared" si="180"/>
        <v>0.11223333333333332</v>
      </c>
      <c r="L220">
        <f t="shared" si="180"/>
        <v>0.11223333333333332</v>
      </c>
      <c r="M220">
        <f t="shared" si="180"/>
        <v>9.5471428571428554E-2</v>
      </c>
      <c r="N220">
        <f t="shared" si="180"/>
        <v>7.3122222222222213E-2</v>
      </c>
    </row>
    <row r="221" spans="1:24" x14ac:dyDescent="0.25">
      <c r="A221">
        <f t="shared" si="166"/>
        <v>1.1222707423580787</v>
      </c>
      <c r="B221" s="3">
        <v>257</v>
      </c>
      <c r="C221" s="3">
        <v>229</v>
      </c>
      <c r="E221">
        <f t="shared" ref="E221:N221" si="181">($R$1-((E293-1)*$L$1))/(E293)-$U$1</f>
        <v>0.1709</v>
      </c>
      <c r="F221">
        <f t="shared" si="181"/>
        <v>0.1709</v>
      </c>
      <c r="G221">
        <f t="shared" si="181"/>
        <v>0.13569999999999999</v>
      </c>
      <c r="H221">
        <f t="shared" si="181"/>
        <v>0.13569999999999999</v>
      </c>
      <c r="I221">
        <f t="shared" si="181"/>
        <v>0.13569999999999999</v>
      </c>
      <c r="J221">
        <f t="shared" si="181"/>
        <v>0.13569999999999999</v>
      </c>
      <c r="K221">
        <f t="shared" si="181"/>
        <v>0.13569999999999999</v>
      </c>
      <c r="L221">
        <f t="shared" si="181"/>
        <v>0.13569999999999999</v>
      </c>
      <c r="M221">
        <f t="shared" si="181"/>
        <v>0.11223333333333332</v>
      </c>
      <c r="N221">
        <f t="shared" si="181"/>
        <v>8.2899999999999988E-2</v>
      </c>
    </row>
    <row r="222" spans="1:24" x14ac:dyDescent="0.25">
      <c r="A222">
        <f t="shared" si="166"/>
        <v>0.85550458715596334</v>
      </c>
      <c r="B222" s="3">
        <v>373</v>
      </c>
      <c r="C222" s="3">
        <v>436</v>
      </c>
      <c r="E222">
        <f t="shared" ref="E222:N222" si="182">($R$1-((E294-1)*$L$1))/(E294)-$U$1</f>
        <v>0.13569999999999999</v>
      </c>
      <c r="F222">
        <f t="shared" si="182"/>
        <v>0.13569999999999999</v>
      </c>
      <c r="G222">
        <f t="shared" si="182"/>
        <v>0.11223333333333332</v>
      </c>
      <c r="H222">
        <f t="shared" si="182"/>
        <v>0.11223333333333332</v>
      </c>
      <c r="I222">
        <f t="shared" si="182"/>
        <v>0.11223333333333332</v>
      </c>
      <c r="J222">
        <f t="shared" si="182"/>
        <v>0.11223333333333332</v>
      </c>
      <c r="K222">
        <f t="shared" si="182"/>
        <v>0.11223333333333332</v>
      </c>
      <c r="L222">
        <f t="shared" si="182"/>
        <v>0.11223333333333332</v>
      </c>
      <c r="M222">
        <f t="shared" si="182"/>
        <v>9.5471428571428554E-2</v>
      </c>
      <c r="N222">
        <f t="shared" si="182"/>
        <v>7.3122222222222213E-2</v>
      </c>
    </row>
    <row r="223" spans="1:24" x14ac:dyDescent="0.25">
      <c r="A223">
        <f t="shared" si="166"/>
        <v>0.52222222222222225</v>
      </c>
      <c r="B223" s="3">
        <v>752</v>
      </c>
      <c r="C223" s="3">
        <v>1440</v>
      </c>
      <c r="E223">
        <f t="shared" ref="E223:N223" si="183">($R$1-((E295-1)*$L$1))/(E295)-$U$1</f>
        <v>0.11223333333333332</v>
      </c>
      <c r="F223">
        <f t="shared" si="183"/>
        <v>0.11223333333333332</v>
      </c>
      <c r="G223">
        <f t="shared" si="183"/>
        <v>9.5471428571428554E-2</v>
      </c>
      <c r="H223">
        <f t="shared" si="183"/>
        <v>9.5471428571428554E-2</v>
      </c>
      <c r="I223">
        <f t="shared" si="183"/>
        <v>9.5471428571428554E-2</v>
      </c>
      <c r="J223">
        <f t="shared" si="183"/>
        <v>9.5471428571428554E-2</v>
      </c>
      <c r="K223">
        <f t="shared" si="183"/>
        <v>9.5471428571428554E-2</v>
      </c>
      <c r="L223">
        <f t="shared" si="183"/>
        <v>9.5471428571428554E-2</v>
      </c>
      <c r="M223">
        <f t="shared" si="183"/>
        <v>8.2899999999999988E-2</v>
      </c>
      <c r="N223">
        <f t="shared" si="183"/>
        <v>6.5299999999999983E-2</v>
      </c>
    </row>
    <row r="226" spans="1:25" x14ac:dyDescent="0.25">
      <c r="E226" s="1" t="s">
        <v>4</v>
      </c>
    </row>
    <row r="227" spans="1:25" x14ac:dyDescent="0.25">
      <c r="E227" s="3">
        <v>1</v>
      </c>
      <c r="F227" s="3">
        <v>8</v>
      </c>
      <c r="G227" s="3">
        <v>5</v>
      </c>
      <c r="H227" s="3">
        <v>4</v>
      </c>
      <c r="I227" s="3">
        <v>3</v>
      </c>
      <c r="J227" s="3">
        <v>16</v>
      </c>
      <c r="K227" s="3">
        <v>16</v>
      </c>
      <c r="L227" s="3">
        <v>19.5</v>
      </c>
      <c r="M227" s="3">
        <v>21</v>
      </c>
      <c r="N227" s="3">
        <v>32</v>
      </c>
      <c r="O227" s="3"/>
      <c r="R227" s="3"/>
      <c r="S227" s="3"/>
      <c r="T227" s="3"/>
      <c r="U227" s="3"/>
      <c r="V227" s="3"/>
      <c r="W227" s="3"/>
      <c r="X227" s="3"/>
      <c r="Y227" s="3"/>
    </row>
    <row r="228" spans="1:25" x14ac:dyDescent="0.25">
      <c r="E228" s="3">
        <v>1</v>
      </c>
      <c r="F228" s="3">
        <v>7</v>
      </c>
      <c r="G228" s="3">
        <v>4</v>
      </c>
      <c r="H228" s="3">
        <v>3</v>
      </c>
      <c r="I228" s="3">
        <v>2</v>
      </c>
      <c r="J228" s="3">
        <v>10</v>
      </c>
      <c r="K228" s="3">
        <v>9</v>
      </c>
      <c r="L228" s="3">
        <v>9</v>
      </c>
      <c r="M228" s="3">
        <v>9</v>
      </c>
      <c r="N228" s="3">
        <v>9</v>
      </c>
      <c r="O228" s="3"/>
      <c r="R228" s="3"/>
      <c r="S228" s="3"/>
      <c r="T228" s="3"/>
      <c r="U228" s="3"/>
      <c r="V228" s="3"/>
      <c r="W228" s="3"/>
      <c r="X228" s="3"/>
      <c r="Y228" s="3"/>
    </row>
    <row r="229" spans="1:25" x14ac:dyDescent="0.25">
      <c r="D229" s="3" t="s">
        <v>0</v>
      </c>
      <c r="E229" s="3">
        <v>720</v>
      </c>
      <c r="F229">
        <v>1240</v>
      </c>
      <c r="G229" s="3">
        <v>900</v>
      </c>
      <c r="H229" s="3">
        <v>960</v>
      </c>
      <c r="I229" s="3">
        <v>1080</v>
      </c>
      <c r="J229" s="3">
        <v>1152</v>
      </c>
      <c r="K229" s="3">
        <v>1280</v>
      </c>
      <c r="L229" s="3">
        <v>1560</v>
      </c>
      <c r="M229" s="3">
        <v>1680</v>
      </c>
      <c r="N229">
        <v>2560</v>
      </c>
    </row>
    <row r="230" spans="1:25" x14ac:dyDescent="0.25">
      <c r="B230" s="2" t="s">
        <v>0</v>
      </c>
      <c r="C230" s="2" t="s">
        <v>1</v>
      </c>
      <c r="D230" s="3" t="s">
        <v>1</v>
      </c>
      <c r="E230" s="3">
        <v>720</v>
      </c>
      <c r="F230" s="3">
        <v>1080</v>
      </c>
      <c r="G230" s="3">
        <v>720</v>
      </c>
      <c r="H230" s="3">
        <v>720</v>
      </c>
      <c r="I230" s="3">
        <v>720</v>
      </c>
      <c r="J230" s="3">
        <v>720</v>
      </c>
      <c r="K230" s="3">
        <v>720</v>
      </c>
      <c r="L230" s="3">
        <v>720</v>
      </c>
      <c r="M230" s="3">
        <v>720</v>
      </c>
      <c r="N230" s="3">
        <v>720</v>
      </c>
      <c r="O230" s="3"/>
    </row>
    <row r="231" spans="1:25" x14ac:dyDescent="0.25">
      <c r="A231">
        <f>B231/C231</f>
        <v>1</v>
      </c>
      <c r="B231" s="3">
        <v>1</v>
      </c>
      <c r="C231" s="3">
        <v>1</v>
      </c>
      <c r="E231">
        <f>(E207*E$105*($C231/$B231))/E$106</f>
        <v>0.13569999999999999</v>
      </c>
      <c r="F231">
        <f>(F207*F$105*($C231/$B231))/F$106</f>
        <v>0.15580370370370367</v>
      </c>
      <c r="G231">
        <f t="shared" ref="G231:N231" si="184">(G207*G$105*($C231/$B231))/G$106</f>
        <v>0.14029166666666665</v>
      </c>
      <c r="H231">
        <f t="shared" si="184"/>
        <v>0.14964444444444441</v>
      </c>
      <c r="I231">
        <f t="shared" si="184"/>
        <v>0.16834999999999997</v>
      </c>
      <c r="J231">
        <f t="shared" si="184"/>
        <v>0.17957333333333333</v>
      </c>
      <c r="K231">
        <f t="shared" si="184"/>
        <v>0.19952592592592591</v>
      </c>
      <c r="L231">
        <f t="shared" si="184"/>
        <v>0.24317222222222218</v>
      </c>
      <c r="M231">
        <f t="shared" si="184"/>
        <v>0.22276666666666661</v>
      </c>
      <c r="N231">
        <f t="shared" si="184"/>
        <v>0.25999012345679007</v>
      </c>
    </row>
    <row r="232" spans="1:25" x14ac:dyDescent="0.25">
      <c r="A232">
        <f t="shared" ref="A232:A247" si="185">B232/C232</f>
        <v>0.5</v>
      </c>
      <c r="B232" s="3">
        <v>1</v>
      </c>
      <c r="C232" s="3">
        <v>2</v>
      </c>
      <c r="E232">
        <f t="shared" ref="E232:N232" si="186">(E208*E$105*($C232/$B232))/E$106</f>
        <v>0.22446666666666665</v>
      </c>
      <c r="F232">
        <f t="shared" ref="F232:F247" si="187">(F208*F$105*($C232/$B232))/F$106</f>
        <v>0.257720987654321</v>
      </c>
      <c r="G232">
        <f t="shared" si="186"/>
        <v>0.23867857142857141</v>
      </c>
      <c r="H232">
        <f t="shared" si="186"/>
        <v>0.25459047619047614</v>
      </c>
      <c r="I232">
        <f t="shared" si="186"/>
        <v>0.28641428571428568</v>
      </c>
      <c r="J232">
        <f t="shared" si="186"/>
        <v>0.30550857142857135</v>
      </c>
      <c r="K232">
        <f t="shared" si="186"/>
        <v>0.33945396825396817</v>
      </c>
      <c r="L232">
        <f t="shared" si="186"/>
        <v>0.41370952380952369</v>
      </c>
      <c r="M232">
        <f t="shared" si="186"/>
        <v>0.38686666666666664</v>
      </c>
      <c r="N232">
        <f t="shared" si="186"/>
        <v>0.46435555555555541</v>
      </c>
    </row>
    <row r="233" spans="1:25" x14ac:dyDescent="0.25">
      <c r="A233">
        <f t="shared" si="185"/>
        <v>0.66666666666666663</v>
      </c>
      <c r="B233" s="3">
        <v>2</v>
      </c>
      <c r="C233" s="3">
        <v>3</v>
      </c>
      <c r="E233">
        <f t="shared" ref="E233:N233" si="188">(E209*E$105*($C233/$B233))/E$106</f>
        <v>0.20354999999999998</v>
      </c>
      <c r="F233">
        <f t="shared" si="187"/>
        <v>0.23370555555555553</v>
      </c>
      <c r="G233">
        <f t="shared" si="188"/>
        <v>0.21043749999999997</v>
      </c>
      <c r="H233">
        <f t="shared" si="188"/>
        <v>0.22446666666666665</v>
      </c>
      <c r="I233">
        <f t="shared" si="188"/>
        <v>0.252525</v>
      </c>
      <c r="J233">
        <f t="shared" si="188"/>
        <v>0.26935999999999999</v>
      </c>
      <c r="K233">
        <f t="shared" si="188"/>
        <v>0.29928888888888883</v>
      </c>
      <c r="L233">
        <f t="shared" si="188"/>
        <v>0.3647583333333333</v>
      </c>
      <c r="M233">
        <f t="shared" si="188"/>
        <v>0.33414999999999995</v>
      </c>
      <c r="N233">
        <f t="shared" si="188"/>
        <v>0.3899851851851851</v>
      </c>
    </row>
    <row r="234" spans="1:25" x14ac:dyDescent="0.25">
      <c r="A234">
        <f t="shared" si="185"/>
        <v>0.75</v>
      </c>
      <c r="B234" s="3">
        <v>3</v>
      </c>
      <c r="C234" s="3">
        <v>4</v>
      </c>
      <c r="E234">
        <f t="shared" ref="E234:N234" si="189">(E210*E$105*($C234/$B234))/E$106</f>
        <v>0.18093333333333333</v>
      </c>
      <c r="F234">
        <f t="shared" si="187"/>
        <v>0.20773827160493824</v>
      </c>
      <c r="G234">
        <f t="shared" si="189"/>
        <v>0.18705555555555553</v>
      </c>
      <c r="H234">
        <f t="shared" si="189"/>
        <v>0.19952592592592591</v>
      </c>
      <c r="I234">
        <f t="shared" si="189"/>
        <v>0.22446666666666665</v>
      </c>
      <c r="J234">
        <f t="shared" si="189"/>
        <v>0.23943111111111112</v>
      </c>
      <c r="K234">
        <f t="shared" si="189"/>
        <v>0.26603456790123453</v>
      </c>
      <c r="L234">
        <f t="shared" si="189"/>
        <v>0.32422962962962953</v>
      </c>
      <c r="M234">
        <f t="shared" si="189"/>
        <v>0.29702222222222213</v>
      </c>
      <c r="N234">
        <f t="shared" si="189"/>
        <v>0.34665349794238676</v>
      </c>
    </row>
    <row r="235" spans="1:25" x14ac:dyDescent="0.25">
      <c r="A235">
        <f t="shared" si="185"/>
        <v>0.6</v>
      </c>
      <c r="B235" s="3">
        <v>3</v>
      </c>
      <c r="C235" s="3">
        <v>5</v>
      </c>
      <c r="E235">
        <f t="shared" ref="E235:N235" si="190">(E211*E$105*($C235/$B235))/E$106</f>
        <v>0.18705555555555556</v>
      </c>
      <c r="F235">
        <f t="shared" si="187"/>
        <v>0.21476748971193416</v>
      </c>
      <c r="G235">
        <f t="shared" si="190"/>
        <v>0.19889880952380953</v>
      </c>
      <c r="H235">
        <f t="shared" si="190"/>
        <v>0.21215873015873013</v>
      </c>
      <c r="I235">
        <f t="shared" si="190"/>
        <v>0.23867857142857141</v>
      </c>
      <c r="J235">
        <f t="shared" si="190"/>
        <v>0.25459047619047614</v>
      </c>
      <c r="K235">
        <f t="shared" si="190"/>
        <v>0.28287830687830684</v>
      </c>
      <c r="L235">
        <f t="shared" si="190"/>
        <v>0.3447579365079364</v>
      </c>
      <c r="M235">
        <f t="shared" si="190"/>
        <v>0.32238888888888889</v>
      </c>
      <c r="N235">
        <f t="shared" si="190"/>
        <v>0.3869629629629629</v>
      </c>
    </row>
    <row r="236" spans="1:25" x14ac:dyDescent="0.25">
      <c r="A236">
        <f t="shared" si="185"/>
        <v>1.3333333333333333</v>
      </c>
      <c r="B236" s="3">
        <v>4</v>
      </c>
      <c r="C236" s="3">
        <v>3</v>
      </c>
      <c r="E236">
        <f t="shared" ref="E236:N236" si="191">(E212*E$105*($C236/$B236))/E$106</f>
        <v>0.12817500000000001</v>
      </c>
      <c r="F236">
        <f t="shared" si="187"/>
        <v>0.1471638888888889</v>
      </c>
      <c r="G236">
        <f t="shared" si="191"/>
        <v>0.12721874999999999</v>
      </c>
      <c r="H236">
        <f t="shared" si="191"/>
        <v>0.13569999999999999</v>
      </c>
      <c r="I236">
        <f t="shared" si="191"/>
        <v>0.15266249999999998</v>
      </c>
      <c r="J236">
        <f t="shared" si="191"/>
        <v>0.16283999999999998</v>
      </c>
      <c r="K236">
        <f t="shared" si="191"/>
        <v>0.18093333333333333</v>
      </c>
      <c r="L236">
        <f t="shared" si="191"/>
        <v>0.22051249999999997</v>
      </c>
      <c r="M236">
        <f t="shared" si="191"/>
        <v>0.19640833333333332</v>
      </c>
      <c r="N236">
        <f t="shared" si="191"/>
        <v>0.22106666666666663</v>
      </c>
    </row>
    <row r="237" spans="1:25" x14ac:dyDescent="0.25">
      <c r="A237">
        <f t="shared" si="185"/>
        <v>0.7142857142857143</v>
      </c>
      <c r="B237" s="3">
        <v>5</v>
      </c>
      <c r="C237" s="3">
        <v>7</v>
      </c>
      <c r="E237">
        <f t="shared" ref="E237:N237" si="192">(E213*E$105*($C237/$B237))/E$106</f>
        <v>0.18997999999999998</v>
      </c>
      <c r="F237">
        <f t="shared" si="187"/>
        <v>0.21812518518518512</v>
      </c>
      <c r="G237">
        <f t="shared" si="192"/>
        <v>0.19640833333333332</v>
      </c>
      <c r="H237">
        <f t="shared" si="192"/>
        <v>0.20950222222222217</v>
      </c>
      <c r="I237">
        <f t="shared" si="192"/>
        <v>0.23568999999999996</v>
      </c>
      <c r="J237">
        <f t="shared" si="192"/>
        <v>0.25140266666666666</v>
      </c>
      <c r="K237">
        <f t="shared" si="192"/>
        <v>0.27933629629629625</v>
      </c>
      <c r="L237">
        <f t="shared" si="192"/>
        <v>0.34044111111111103</v>
      </c>
      <c r="M237">
        <f t="shared" si="192"/>
        <v>0.31187333333333328</v>
      </c>
      <c r="N237">
        <f t="shared" si="192"/>
        <v>0.36398617283950607</v>
      </c>
    </row>
    <row r="238" spans="1:25" x14ac:dyDescent="0.25">
      <c r="A238">
        <f t="shared" si="185"/>
        <v>0.5892857142857143</v>
      </c>
      <c r="B238" s="3">
        <v>99</v>
      </c>
      <c r="C238" s="3">
        <v>168</v>
      </c>
      <c r="E238">
        <f t="shared" ref="E238:N238" si="193">(E214*E$105*($C238/$B238))/E$106</f>
        <v>0.19045656565656566</v>
      </c>
      <c r="F238">
        <f t="shared" si="187"/>
        <v>0.21867235316124203</v>
      </c>
      <c r="G238">
        <f t="shared" si="193"/>
        <v>0.20251515151515148</v>
      </c>
      <c r="H238">
        <f t="shared" si="193"/>
        <v>0.21601616161616155</v>
      </c>
      <c r="I238">
        <f t="shared" si="193"/>
        <v>0.2430181818181818</v>
      </c>
      <c r="J238">
        <f t="shared" si="193"/>
        <v>0.25921939393939386</v>
      </c>
      <c r="K238">
        <f t="shared" si="193"/>
        <v>0.28802154882154879</v>
      </c>
      <c r="L238">
        <f t="shared" si="193"/>
        <v>0.35102626262626252</v>
      </c>
      <c r="M238">
        <f t="shared" si="193"/>
        <v>0.32825050505050507</v>
      </c>
      <c r="N238">
        <f t="shared" si="193"/>
        <v>0.39399865319865313</v>
      </c>
    </row>
    <row r="239" spans="1:25" x14ac:dyDescent="0.25">
      <c r="A239">
        <f t="shared" si="185"/>
        <v>0.61764705882352944</v>
      </c>
      <c r="B239" s="3">
        <v>105</v>
      </c>
      <c r="C239" s="3">
        <v>170</v>
      </c>
      <c r="E239">
        <f t="shared" ref="E239:N239" si="194">(E215*E$105*($C239/$B239))/E$106</f>
        <v>0.1817111111111111</v>
      </c>
      <c r="F239">
        <f t="shared" si="187"/>
        <v>0.20863127572016463</v>
      </c>
      <c r="G239">
        <f t="shared" si="194"/>
        <v>0.19321598639455778</v>
      </c>
      <c r="H239">
        <f t="shared" si="194"/>
        <v>0.20609705215419494</v>
      </c>
      <c r="I239">
        <f t="shared" si="194"/>
        <v>0.23185918367346936</v>
      </c>
      <c r="J239">
        <f t="shared" si="194"/>
        <v>0.24731646258503398</v>
      </c>
      <c r="K239">
        <f t="shared" si="194"/>
        <v>0.2747960695389266</v>
      </c>
      <c r="L239">
        <f t="shared" si="194"/>
        <v>0.33490770975056683</v>
      </c>
      <c r="M239">
        <f t="shared" si="194"/>
        <v>0.31317777777777778</v>
      </c>
      <c r="N239">
        <f t="shared" si="194"/>
        <v>0.37590687830687819</v>
      </c>
    </row>
    <row r="240" spans="1:25" x14ac:dyDescent="0.25">
      <c r="A240">
        <f t="shared" si="185"/>
        <v>1.6716417910447761</v>
      </c>
      <c r="B240" s="3">
        <v>112</v>
      </c>
      <c r="C240" s="3">
        <v>67</v>
      </c>
      <c r="E240">
        <f t="shared" ref="E240:N240" si="195">(E216*E$105*($C240/$B240))/E$106</f>
        <v>0.10223482142857142</v>
      </c>
      <c r="F240">
        <f t="shared" si="187"/>
        <v>0.11738072089947089</v>
      </c>
      <c r="G240">
        <f t="shared" si="195"/>
        <v>0.1014720982142857</v>
      </c>
      <c r="H240">
        <f t="shared" si="195"/>
        <v>0.10823690476190476</v>
      </c>
      <c r="I240">
        <f t="shared" si="195"/>
        <v>0.12176651785714285</v>
      </c>
      <c r="J240">
        <f t="shared" si="195"/>
        <v>0.1298842857142857</v>
      </c>
      <c r="K240">
        <f t="shared" si="195"/>
        <v>0.14431587301587298</v>
      </c>
      <c r="L240">
        <f t="shared" si="195"/>
        <v>0.17588497023809521</v>
      </c>
      <c r="M240">
        <f t="shared" si="195"/>
        <v>0.15665902777777777</v>
      </c>
      <c r="N240">
        <f t="shared" si="195"/>
        <v>0.17632698412698408</v>
      </c>
    </row>
    <row r="241" spans="1:15" x14ac:dyDescent="0.25">
      <c r="A241">
        <f t="shared" si="185"/>
        <v>0.78488372093023251</v>
      </c>
      <c r="B241" s="3">
        <v>135</v>
      </c>
      <c r="C241" s="3">
        <v>172</v>
      </c>
      <c r="E241">
        <f t="shared" ref="E241:N241" si="196">(E217*E$105*($C241/$B241))/E$106</f>
        <v>0.17289185185185185</v>
      </c>
      <c r="F241">
        <f t="shared" si="187"/>
        <v>0.19850545953360765</v>
      </c>
      <c r="G241">
        <f t="shared" si="196"/>
        <v>0.17874197530864194</v>
      </c>
      <c r="H241">
        <f t="shared" si="196"/>
        <v>0.19065810699588476</v>
      </c>
      <c r="I241">
        <f t="shared" si="196"/>
        <v>0.21449037037037036</v>
      </c>
      <c r="J241">
        <f t="shared" si="196"/>
        <v>0.22878972839506173</v>
      </c>
      <c r="K241">
        <f t="shared" si="196"/>
        <v>0.25421080932784634</v>
      </c>
      <c r="L241">
        <f t="shared" si="196"/>
        <v>0.30981942386831274</v>
      </c>
      <c r="M241">
        <f t="shared" si="196"/>
        <v>0.2838212345679012</v>
      </c>
      <c r="N241">
        <f t="shared" si="196"/>
        <v>0.33124667581161404</v>
      </c>
    </row>
    <row r="242" spans="1:15" x14ac:dyDescent="0.25">
      <c r="A242">
        <f t="shared" si="185"/>
        <v>0.6908212560386473</v>
      </c>
      <c r="B242" s="3">
        <v>143</v>
      </c>
      <c r="C242" s="3">
        <v>207</v>
      </c>
      <c r="E242">
        <f t="shared" ref="E242:N242" si="197">(E218*E$105*($C242/$B242))/E$106</f>
        <v>0.19643286713286712</v>
      </c>
      <c r="F242">
        <f t="shared" si="187"/>
        <v>0.22553403263403257</v>
      </c>
      <c r="G242">
        <f t="shared" si="197"/>
        <v>0.20307954545454543</v>
      </c>
      <c r="H242">
        <f t="shared" si="197"/>
        <v>0.21661818181818179</v>
      </c>
      <c r="I242">
        <f t="shared" si="197"/>
        <v>0.24369545454545449</v>
      </c>
      <c r="J242">
        <f t="shared" si="197"/>
        <v>0.25994181818181816</v>
      </c>
      <c r="K242">
        <f t="shared" si="197"/>
        <v>0.28882424242424237</v>
      </c>
      <c r="L242">
        <f t="shared" si="197"/>
        <v>0.3520045454545454</v>
      </c>
      <c r="M242">
        <f t="shared" si="197"/>
        <v>0.32246643356643351</v>
      </c>
      <c r="N242">
        <f t="shared" si="197"/>
        <v>0.37634933954933947</v>
      </c>
    </row>
    <row r="243" spans="1:15" x14ac:dyDescent="0.25">
      <c r="A243">
        <f t="shared" si="185"/>
        <v>0.70731707317073167</v>
      </c>
      <c r="B243" s="3">
        <v>145</v>
      </c>
      <c r="C243" s="3">
        <v>205</v>
      </c>
      <c r="E243">
        <f t="shared" ref="E243:N243" si="198">(E219*E$105*($C243/$B243))/E$106</f>
        <v>0.19185172413793103</v>
      </c>
      <c r="F243">
        <f t="shared" si="187"/>
        <v>0.22027420178799487</v>
      </c>
      <c r="G243">
        <f t="shared" si="198"/>
        <v>0.19834339080459765</v>
      </c>
      <c r="H243">
        <f t="shared" si="198"/>
        <v>0.21156628352490417</v>
      </c>
      <c r="I243">
        <f t="shared" si="198"/>
        <v>0.23801206896551722</v>
      </c>
      <c r="J243">
        <f t="shared" si="198"/>
        <v>0.25387954022988501</v>
      </c>
      <c r="K243">
        <f t="shared" si="198"/>
        <v>0.28208837803320558</v>
      </c>
      <c r="L243">
        <f t="shared" si="198"/>
        <v>0.34379521072796926</v>
      </c>
      <c r="M243">
        <f t="shared" si="198"/>
        <v>0.31494597701149418</v>
      </c>
      <c r="N243">
        <f t="shared" si="198"/>
        <v>0.3675722435078756</v>
      </c>
    </row>
    <row r="244" spans="1:15" x14ac:dyDescent="0.25">
      <c r="A244">
        <f t="shared" si="185"/>
        <v>0.71470588235294119</v>
      </c>
      <c r="B244" s="3">
        <v>243</v>
      </c>
      <c r="C244" s="3">
        <v>340</v>
      </c>
      <c r="E244">
        <f t="shared" ref="E244:N244" si="199">(E220*E$105*($C244/$B244))/E$106</f>
        <v>0.18986831275720162</v>
      </c>
      <c r="F244">
        <f t="shared" si="187"/>
        <v>0.21799695168419447</v>
      </c>
      <c r="G244">
        <f t="shared" si="199"/>
        <v>0.19629286694101511</v>
      </c>
      <c r="H244">
        <f t="shared" si="199"/>
        <v>0.20937905807041607</v>
      </c>
      <c r="I244">
        <f t="shared" si="199"/>
        <v>0.2355514403292181</v>
      </c>
      <c r="J244">
        <f t="shared" si="199"/>
        <v>0.25125486968449934</v>
      </c>
      <c r="K244">
        <f t="shared" si="199"/>
        <v>0.27917207742722144</v>
      </c>
      <c r="L244">
        <f t="shared" si="199"/>
        <v>0.3402409693644261</v>
      </c>
      <c r="M244">
        <f t="shared" si="199"/>
        <v>0.31168998628257882</v>
      </c>
      <c r="N244">
        <f t="shared" si="199"/>
        <v>0.36377218919880094</v>
      </c>
    </row>
    <row r="245" spans="1:15" x14ac:dyDescent="0.25">
      <c r="A245">
        <f t="shared" si="185"/>
        <v>1.1222707423580787</v>
      </c>
      <c r="B245" s="3">
        <v>257</v>
      </c>
      <c r="C245" s="3">
        <v>229</v>
      </c>
      <c r="E245">
        <f t="shared" ref="E245:N245" si="200">(E221*E$105*($C245/$B245))/E$106</f>
        <v>0.15228054474708172</v>
      </c>
      <c r="F245">
        <f t="shared" si="187"/>
        <v>0.17484062545035309</v>
      </c>
      <c r="G245">
        <f t="shared" si="200"/>
        <v>0.15114445525291831</v>
      </c>
      <c r="H245">
        <f t="shared" si="200"/>
        <v>0.1612207522697795</v>
      </c>
      <c r="I245">
        <f t="shared" si="200"/>
        <v>0.18137334630350194</v>
      </c>
      <c r="J245">
        <f t="shared" si="200"/>
        <v>0.19346490272373537</v>
      </c>
      <c r="K245">
        <f t="shared" si="200"/>
        <v>0.21496100302637267</v>
      </c>
      <c r="L245">
        <f t="shared" si="200"/>
        <v>0.26198372243839169</v>
      </c>
      <c r="M245">
        <f t="shared" si="200"/>
        <v>0.2333463467358409</v>
      </c>
      <c r="N245">
        <f t="shared" si="200"/>
        <v>0.26264210981409419</v>
      </c>
    </row>
    <row r="246" spans="1:15" x14ac:dyDescent="0.25">
      <c r="A246">
        <f t="shared" si="185"/>
        <v>0.85550458715596334</v>
      </c>
      <c r="B246" s="3">
        <v>373</v>
      </c>
      <c r="C246" s="3">
        <v>436</v>
      </c>
      <c r="E246">
        <f t="shared" ref="E246:N246" si="201">(E222*E$105*($C246/$B246))/E$106</f>
        <v>0.15861983914209113</v>
      </c>
      <c r="F246">
        <f t="shared" si="187"/>
        <v>0.18211907457054904</v>
      </c>
      <c r="G246">
        <f t="shared" si="201"/>
        <v>0.16398704200178729</v>
      </c>
      <c r="H246">
        <f t="shared" si="201"/>
        <v>0.17491951146857307</v>
      </c>
      <c r="I246">
        <f t="shared" si="201"/>
        <v>0.19678445040214473</v>
      </c>
      <c r="J246">
        <f t="shared" si="201"/>
        <v>0.20990341376228774</v>
      </c>
      <c r="K246">
        <f t="shared" si="201"/>
        <v>0.23322601529143078</v>
      </c>
      <c r="L246">
        <f t="shared" si="201"/>
        <v>0.28424420613643131</v>
      </c>
      <c r="M246">
        <f t="shared" si="201"/>
        <v>0.26039213583556742</v>
      </c>
      <c r="N246">
        <f t="shared" si="201"/>
        <v>0.3039026644159798</v>
      </c>
    </row>
    <row r="247" spans="1:15" x14ac:dyDescent="0.25">
      <c r="A247">
        <f t="shared" si="185"/>
        <v>0.52222222222222225</v>
      </c>
      <c r="B247" s="3">
        <v>752</v>
      </c>
      <c r="C247" s="3">
        <v>1440</v>
      </c>
      <c r="E247">
        <f t="shared" ref="E247:N247" si="202">(E223*E$105*($C247/$B247))/E$106</f>
        <v>0.21491489361702129</v>
      </c>
      <c r="F247">
        <f t="shared" si="187"/>
        <v>0.24675413711583927</v>
      </c>
      <c r="G247">
        <f t="shared" si="202"/>
        <v>0.22852203647416411</v>
      </c>
      <c r="H247">
        <f t="shared" si="202"/>
        <v>0.24375683890577504</v>
      </c>
      <c r="I247">
        <f t="shared" si="202"/>
        <v>0.27422644376899696</v>
      </c>
      <c r="J247">
        <f t="shared" si="202"/>
        <v>0.29250820668693006</v>
      </c>
      <c r="K247">
        <f t="shared" si="202"/>
        <v>0.32500911854103343</v>
      </c>
      <c r="L247">
        <f t="shared" si="202"/>
        <v>0.39610486322188437</v>
      </c>
      <c r="M247">
        <f t="shared" si="202"/>
        <v>0.37040425531914895</v>
      </c>
      <c r="N247">
        <f t="shared" si="202"/>
        <v>0.44459574468085095</v>
      </c>
    </row>
    <row r="250" spans="1:15" x14ac:dyDescent="0.25">
      <c r="E250" s="1" t="s">
        <v>5</v>
      </c>
    </row>
    <row r="251" spans="1:15" x14ac:dyDescent="0.25">
      <c r="E251" s="3">
        <v>1</v>
      </c>
      <c r="F251" s="3">
        <v>8</v>
      </c>
      <c r="G251" s="3">
        <v>5</v>
      </c>
      <c r="H251" s="3">
        <v>4</v>
      </c>
      <c r="I251" s="3">
        <v>3</v>
      </c>
      <c r="J251" s="3">
        <v>16</v>
      </c>
      <c r="K251" s="3">
        <v>16</v>
      </c>
      <c r="L251" s="3">
        <v>19.5</v>
      </c>
      <c r="M251" s="3">
        <v>21</v>
      </c>
      <c r="N251" s="3">
        <v>32</v>
      </c>
      <c r="O251" s="3"/>
    </row>
    <row r="252" spans="1:15" x14ac:dyDescent="0.25">
      <c r="E252" s="3">
        <v>1</v>
      </c>
      <c r="F252" s="3">
        <v>7</v>
      </c>
      <c r="G252" s="3">
        <v>4</v>
      </c>
      <c r="H252" s="3">
        <v>3</v>
      </c>
      <c r="I252" s="3">
        <v>2</v>
      </c>
      <c r="J252" s="3">
        <v>10</v>
      </c>
      <c r="K252" s="3">
        <v>9</v>
      </c>
      <c r="L252" s="3">
        <v>9</v>
      </c>
      <c r="M252" s="3">
        <v>9</v>
      </c>
      <c r="N252" s="3">
        <v>9</v>
      </c>
      <c r="O252" s="3"/>
    </row>
    <row r="253" spans="1:15" x14ac:dyDescent="0.25">
      <c r="D253" s="3" t="s">
        <v>0</v>
      </c>
      <c r="E253" s="3">
        <v>720</v>
      </c>
      <c r="F253">
        <v>1240</v>
      </c>
      <c r="G253" s="3">
        <v>900</v>
      </c>
      <c r="H253" s="3">
        <v>960</v>
      </c>
      <c r="I253" s="3">
        <v>1080</v>
      </c>
      <c r="J253" s="3">
        <v>1152</v>
      </c>
      <c r="K253" s="3">
        <v>1280</v>
      </c>
      <c r="L253" s="3">
        <v>1560</v>
      </c>
      <c r="M253" s="3">
        <v>1680</v>
      </c>
      <c r="N253">
        <v>2560</v>
      </c>
    </row>
    <row r="254" spans="1:15" x14ac:dyDescent="0.25">
      <c r="B254" s="2" t="s">
        <v>0</v>
      </c>
      <c r="C254" s="2" t="s">
        <v>1</v>
      </c>
      <c r="D254" s="3" t="s">
        <v>1</v>
      </c>
      <c r="E254" s="3">
        <v>720</v>
      </c>
      <c r="F254" s="3">
        <v>1080</v>
      </c>
      <c r="G254" s="3">
        <v>720</v>
      </c>
      <c r="H254" s="3">
        <v>720</v>
      </c>
      <c r="I254" s="3">
        <v>720</v>
      </c>
      <c r="J254" s="3">
        <v>720</v>
      </c>
      <c r="K254" s="3">
        <v>720</v>
      </c>
      <c r="L254" s="3">
        <v>720</v>
      </c>
      <c r="M254" s="3">
        <v>720</v>
      </c>
      <c r="N254" s="3">
        <v>720</v>
      </c>
      <c r="O254" s="3"/>
    </row>
    <row r="255" spans="1:15" x14ac:dyDescent="0.25">
      <c r="A255">
        <f>B255/C255</f>
        <v>1</v>
      </c>
      <c r="B255" s="3">
        <v>1</v>
      </c>
      <c r="C255" s="3">
        <v>1</v>
      </c>
      <c r="E255">
        <f t="shared" ref="E255:F271" si="203">($L$1*E$153)/E$154</f>
        <v>5.0000000000000001E-3</v>
      </c>
      <c r="F255">
        <f t="shared" si="203"/>
        <v>5.7407407407407407E-3</v>
      </c>
      <c r="G255">
        <f t="shared" ref="G255:N270" si="204">($L$1*G$153)/G$154</f>
        <v>6.2500000000000003E-3</v>
      </c>
      <c r="H255">
        <f t="shared" si="204"/>
        <v>6.6666666666666662E-3</v>
      </c>
      <c r="I255">
        <f t="shared" si="204"/>
        <v>7.5000000000000006E-3</v>
      </c>
      <c r="J255">
        <f t="shared" si="204"/>
        <v>8.0000000000000002E-3</v>
      </c>
      <c r="K255">
        <f t="shared" si="204"/>
        <v>8.8888888888888889E-3</v>
      </c>
      <c r="L255">
        <f t="shared" si="204"/>
        <v>1.0833333333333334E-2</v>
      </c>
      <c r="M255">
        <f t="shared" si="204"/>
        <v>1.1666666666666667E-2</v>
      </c>
      <c r="N255">
        <f t="shared" si="204"/>
        <v>1.7777777777777778E-2</v>
      </c>
    </row>
    <row r="256" spans="1:15" x14ac:dyDescent="0.25">
      <c r="A256">
        <f t="shared" ref="A256:A271" si="205">B256/C256</f>
        <v>0.5</v>
      </c>
      <c r="B256" s="3">
        <v>1</v>
      </c>
      <c r="C256" s="3">
        <v>2</v>
      </c>
      <c r="E256">
        <f t="shared" si="203"/>
        <v>5.0000000000000001E-3</v>
      </c>
      <c r="F256">
        <f t="shared" si="203"/>
        <v>5.7407407407407407E-3</v>
      </c>
      <c r="G256">
        <f t="shared" si="204"/>
        <v>6.2500000000000003E-3</v>
      </c>
      <c r="H256">
        <f t="shared" si="204"/>
        <v>6.6666666666666662E-3</v>
      </c>
      <c r="I256">
        <f t="shared" si="204"/>
        <v>7.5000000000000006E-3</v>
      </c>
      <c r="J256">
        <f t="shared" si="204"/>
        <v>8.0000000000000002E-3</v>
      </c>
      <c r="K256">
        <f t="shared" si="204"/>
        <v>8.8888888888888889E-3</v>
      </c>
      <c r="L256">
        <f t="shared" si="204"/>
        <v>1.0833333333333334E-2</v>
      </c>
      <c r="M256">
        <f t="shared" si="204"/>
        <v>1.1666666666666667E-2</v>
      </c>
      <c r="N256">
        <f t="shared" si="204"/>
        <v>1.7777777777777778E-2</v>
      </c>
    </row>
    <row r="257" spans="1:14" x14ac:dyDescent="0.25">
      <c r="A257">
        <f t="shared" si="205"/>
        <v>0.66666666666666663</v>
      </c>
      <c r="B257" s="3">
        <v>2</v>
      </c>
      <c r="C257" s="3">
        <v>3</v>
      </c>
      <c r="E257">
        <f t="shared" si="203"/>
        <v>5.0000000000000001E-3</v>
      </c>
      <c r="F257">
        <f t="shared" si="203"/>
        <v>5.7407407407407407E-3</v>
      </c>
      <c r="G257">
        <f t="shared" si="204"/>
        <v>6.2500000000000003E-3</v>
      </c>
      <c r="H257">
        <f t="shared" si="204"/>
        <v>6.6666666666666662E-3</v>
      </c>
      <c r="I257">
        <f t="shared" si="204"/>
        <v>7.5000000000000006E-3</v>
      </c>
      <c r="J257">
        <f t="shared" si="204"/>
        <v>8.0000000000000002E-3</v>
      </c>
      <c r="K257">
        <f t="shared" si="204"/>
        <v>8.8888888888888889E-3</v>
      </c>
      <c r="L257">
        <f t="shared" si="204"/>
        <v>1.0833333333333334E-2</v>
      </c>
      <c r="M257">
        <f t="shared" si="204"/>
        <v>1.1666666666666667E-2</v>
      </c>
      <c r="N257">
        <f t="shared" si="204"/>
        <v>1.7777777777777778E-2</v>
      </c>
    </row>
    <row r="258" spans="1:14" x14ac:dyDescent="0.25">
      <c r="A258">
        <f t="shared" si="205"/>
        <v>0.75</v>
      </c>
      <c r="B258" s="3">
        <v>3</v>
      </c>
      <c r="C258" s="3">
        <v>4</v>
      </c>
      <c r="E258">
        <f t="shared" si="203"/>
        <v>5.0000000000000001E-3</v>
      </c>
      <c r="F258">
        <f t="shared" si="203"/>
        <v>5.7407407407407407E-3</v>
      </c>
      <c r="G258">
        <f t="shared" si="204"/>
        <v>6.2500000000000003E-3</v>
      </c>
      <c r="H258">
        <f t="shared" si="204"/>
        <v>6.6666666666666662E-3</v>
      </c>
      <c r="I258">
        <f t="shared" si="204"/>
        <v>7.5000000000000006E-3</v>
      </c>
      <c r="J258">
        <f t="shared" si="204"/>
        <v>8.0000000000000002E-3</v>
      </c>
      <c r="K258">
        <f t="shared" si="204"/>
        <v>8.8888888888888889E-3</v>
      </c>
      <c r="L258">
        <f t="shared" si="204"/>
        <v>1.0833333333333334E-2</v>
      </c>
      <c r="M258">
        <f t="shared" si="204"/>
        <v>1.1666666666666667E-2</v>
      </c>
      <c r="N258">
        <f t="shared" si="204"/>
        <v>1.7777777777777778E-2</v>
      </c>
    </row>
    <row r="259" spans="1:14" x14ac:dyDescent="0.25">
      <c r="A259">
        <f t="shared" si="205"/>
        <v>0.6</v>
      </c>
      <c r="B259" s="3">
        <v>3</v>
      </c>
      <c r="C259" s="3">
        <v>5</v>
      </c>
      <c r="E259">
        <f t="shared" si="203"/>
        <v>5.0000000000000001E-3</v>
      </c>
      <c r="F259">
        <f t="shared" si="203"/>
        <v>5.7407407407407407E-3</v>
      </c>
      <c r="G259">
        <f t="shared" si="204"/>
        <v>6.2500000000000003E-3</v>
      </c>
      <c r="H259">
        <f t="shared" si="204"/>
        <v>6.6666666666666662E-3</v>
      </c>
      <c r="I259">
        <f t="shared" si="204"/>
        <v>7.5000000000000006E-3</v>
      </c>
      <c r="J259">
        <f t="shared" si="204"/>
        <v>8.0000000000000002E-3</v>
      </c>
      <c r="K259">
        <f t="shared" si="204"/>
        <v>8.8888888888888889E-3</v>
      </c>
      <c r="L259">
        <f t="shared" si="204"/>
        <v>1.0833333333333334E-2</v>
      </c>
      <c r="M259">
        <f t="shared" si="204"/>
        <v>1.1666666666666667E-2</v>
      </c>
      <c r="N259">
        <f t="shared" si="204"/>
        <v>1.7777777777777778E-2</v>
      </c>
    </row>
    <row r="260" spans="1:14" x14ac:dyDescent="0.25">
      <c r="A260">
        <f t="shared" si="205"/>
        <v>1.3333333333333333</v>
      </c>
      <c r="B260" s="3">
        <v>4</v>
      </c>
      <c r="C260" s="3">
        <v>3</v>
      </c>
      <c r="E260">
        <f t="shared" si="203"/>
        <v>5.0000000000000001E-3</v>
      </c>
      <c r="F260">
        <f t="shared" si="203"/>
        <v>5.7407407407407407E-3</v>
      </c>
      <c r="G260">
        <f t="shared" si="204"/>
        <v>6.2500000000000003E-3</v>
      </c>
      <c r="H260">
        <f t="shared" si="204"/>
        <v>6.6666666666666662E-3</v>
      </c>
      <c r="I260">
        <f t="shared" si="204"/>
        <v>7.5000000000000006E-3</v>
      </c>
      <c r="J260">
        <f t="shared" si="204"/>
        <v>8.0000000000000002E-3</v>
      </c>
      <c r="K260">
        <f t="shared" si="204"/>
        <v>8.8888888888888889E-3</v>
      </c>
      <c r="L260">
        <f t="shared" si="204"/>
        <v>1.0833333333333334E-2</v>
      </c>
      <c r="M260">
        <f t="shared" si="204"/>
        <v>1.1666666666666667E-2</v>
      </c>
      <c r="N260">
        <f t="shared" si="204"/>
        <v>1.7777777777777778E-2</v>
      </c>
    </row>
    <row r="261" spans="1:14" x14ac:dyDescent="0.25">
      <c r="A261">
        <f t="shared" si="205"/>
        <v>0.7142857142857143</v>
      </c>
      <c r="B261" s="3">
        <v>5</v>
      </c>
      <c r="C261" s="3">
        <v>7</v>
      </c>
      <c r="E261">
        <f t="shared" si="203"/>
        <v>5.0000000000000001E-3</v>
      </c>
      <c r="F261">
        <f t="shared" si="203"/>
        <v>5.7407407407407407E-3</v>
      </c>
      <c r="G261">
        <f t="shared" si="204"/>
        <v>6.2500000000000003E-3</v>
      </c>
      <c r="H261">
        <f t="shared" si="204"/>
        <v>6.6666666666666662E-3</v>
      </c>
      <c r="I261">
        <f t="shared" si="204"/>
        <v>7.5000000000000006E-3</v>
      </c>
      <c r="J261">
        <f t="shared" si="204"/>
        <v>8.0000000000000002E-3</v>
      </c>
      <c r="K261">
        <f t="shared" si="204"/>
        <v>8.8888888888888889E-3</v>
      </c>
      <c r="L261">
        <f t="shared" si="204"/>
        <v>1.0833333333333334E-2</v>
      </c>
      <c r="M261">
        <f t="shared" si="204"/>
        <v>1.1666666666666667E-2</v>
      </c>
      <c r="N261">
        <f t="shared" si="204"/>
        <v>1.7777777777777778E-2</v>
      </c>
    </row>
    <row r="262" spans="1:14" x14ac:dyDescent="0.25">
      <c r="A262">
        <f t="shared" si="205"/>
        <v>0.5892857142857143</v>
      </c>
      <c r="B262" s="3">
        <v>99</v>
      </c>
      <c r="C262" s="3">
        <v>168</v>
      </c>
      <c r="E262">
        <f t="shared" si="203"/>
        <v>5.0000000000000001E-3</v>
      </c>
      <c r="F262">
        <f t="shared" si="203"/>
        <v>5.7407407407407407E-3</v>
      </c>
      <c r="G262">
        <f t="shared" si="204"/>
        <v>6.2500000000000003E-3</v>
      </c>
      <c r="H262">
        <f t="shared" si="204"/>
        <v>6.6666666666666662E-3</v>
      </c>
      <c r="I262">
        <f t="shared" si="204"/>
        <v>7.5000000000000006E-3</v>
      </c>
      <c r="J262">
        <f t="shared" si="204"/>
        <v>8.0000000000000002E-3</v>
      </c>
      <c r="K262">
        <f t="shared" si="204"/>
        <v>8.8888888888888889E-3</v>
      </c>
      <c r="L262">
        <f t="shared" si="204"/>
        <v>1.0833333333333334E-2</v>
      </c>
      <c r="M262">
        <f t="shared" si="204"/>
        <v>1.1666666666666667E-2</v>
      </c>
      <c r="N262">
        <f t="shared" si="204"/>
        <v>1.7777777777777778E-2</v>
      </c>
    </row>
    <row r="263" spans="1:14" x14ac:dyDescent="0.25">
      <c r="A263">
        <f t="shared" si="205"/>
        <v>0.61764705882352944</v>
      </c>
      <c r="B263" s="3">
        <v>105</v>
      </c>
      <c r="C263" s="3">
        <v>170</v>
      </c>
      <c r="E263">
        <f t="shared" si="203"/>
        <v>5.0000000000000001E-3</v>
      </c>
      <c r="F263">
        <f t="shared" si="203"/>
        <v>5.7407407407407407E-3</v>
      </c>
      <c r="G263">
        <f t="shared" si="204"/>
        <v>6.2500000000000003E-3</v>
      </c>
      <c r="H263">
        <f t="shared" si="204"/>
        <v>6.6666666666666662E-3</v>
      </c>
      <c r="I263">
        <f t="shared" si="204"/>
        <v>7.5000000000000006E-3</v>
      </c>
      <c r="J263">
        <f t="shared" si="204"/>
        <v>8.0000000000000002E-3</v>
      </c>
      <c r="K263">
        <f t="shared" si="204"/>
        <v>8.8888888888888889E-3</v>
      </c>
      <c r="L263">
        <f t="shared" si="204"/>
        <v>1.0833333333333334E-2</v>
      </c>
      <c r="M263">
        <f t="shared" si="204"/>
        <v>1.1666666666666667E-2</v>
      </c>
      <c r="N263">
        <f t="shared" si="204"/>
        <v>1.7777777777777778E-2</v>
      </c>
    </row>
    <row r="264" spans="1:14" x14ac:dyDescent="0.25">
      <c r="A264">
        <f t="shared" si="205"/>
        <v>1.6716417910447761</v>
      </c>
      <c r="B264" s="3">
        <v>112</v>
      </c>
      <c r="C264" s="3">
        <v>67</v>
      </c>
      <c r="E264">
        <f t="shared" si="203"/>
        <v>5.0000000000000001E-3</v>
      </c>
      <c r="F264">
        <f t="shared" si="203"/>
        <v>5.7407407407407407E-3</v>
      </c>
      <c r="G264">
        <f t="shared" si="204"/>
        <v>6.2500000000000003E-3</v>
      </c>
      <c r="H264">
        <f t="shared" si="204"/>
        <v>6.6666666666666662E-3</v>
      </c>
      <c r="I264">
        <f t="shared" si="204"/>
        <v>7.5000000000000006E-3</v>
      </c>
      <c r="J264">
        <f t="shared" si="204"/>
        <v>8.0000000000000002E-3</v>
      </c>
      <c r="K264">
        <f t="shared" si="204"/>
        <v>8.8888888888888889E-3</v>
      </c>
      <c r="L264">
        <f t="shared" si="204"/>
        <v>1.0833333333333334E-2</v>
      </c>
      <c r="M264">
        <f t="shared" si="204"/>
        <v>1.1666666666666667E-2</v>
      </c>
      <c r="N264">
        <f t="shared" si="204"/>
        <v>1.7777777777777778E-2</v>
      </c>
    </row>
    <row r="265" spans="1:14" x14ac:dyDescent="0.25">
      <c r="A265">
        <f t="shared" si="205"/>
        <v>0.78488372093023251</v>
      </c>
      <c r="B265" s="3">
        <v>135</v>
      </c>
      <c r="C265" s="3">
        <v>172</v>
      </c>
      <c r="E265">
        <f t="shared" si="203"/>
        <v>5.0000000000000001E-3</v>
      </c>
      <c r="F265">
        <f t="shared" si="203"/>
        <v>5.7407407407407407E-3</v>
      </c>
      <c r="G265">
        <f t="shared" si="204"/>
        <v>6.2500000000000003E-3</v>
      </c>
      <c r="H265">
        <f t="shared" si="204"/>
        <v>6.6666666666666662E-3</v>
      </c>
      <c r="I265">
        <f t="shared" si="204"/>
        <v>7.5000000000000006E-3</v>
      </c>
      <c r="J265">
        <f t="shared" si="204"/>
        <v>8.0000000000000002E-3</v>
      </c>
      <c r="K265">
        <f t="shared" si="204"/>
        <v>8.8888888888888889E-3</v>
      </c>
      <c r="L265">
        <f t="shared" si="204"/>
        <v>1.0833333333333334E-2</v>
      </c>
      <c r="M265">
        <f t="shared" si="204"/>
        <v>1.1666666666666667E-2</v>
      </c>
      <c r="N265">
        <f t="shared" si="204"/>
        <v>1.7777777777777778E-2</v>
      </c>
    </row>
    <row r="266" spans="1:14" x14ac:dyDescent="0.25">
      <c r="A266">
        <f t="shared" si="205"/>
        <v>0.6908212560386473</v>
      </c>
      <c r="B266" s="3">
        <v>143</v>
      </c>
      <c r="C266" s="3">
        <v>207</v>
      </c>
      <c r="E266">
        <f t="shared" si="203"/>
        <v>5.0000000000000001E-3</v>
      </c>
      <c r="F266">
        <f t="shared" si="203"/>
        <v>5.7407407407407407E-3</v>
      </c>
      <c r="G266">
        <f t="shared" si="204"/>
        <v>6.2500000000000003E-3</v>
      </c>
      <c r="H266">
        <f t="shared" si="204"/>
        <v>6.6666666666666662E-3</v>
      </c>
      <c r="I266">
        <f t="shared" si="204"/>
        <v>7.5000000000000006E-3</v>
      </c>
      <c r="J266">
        <f t="shared" si="204"/>
        <v>8.0000000000000002E-3</v>
      </c>
      <c r="K266">
        <f t="shared" si="204"/>
        <v>8.8888888888888889E-3</v>
      </c>
      <c r="L266">
        <f t="shared" si="204"/>
        <v>1.0833333333333334E-2</v>
      </c>
      <c r="M266">
        <f t="shared" si="204"/>
        <v>1.1666666666666667E-2</v>
      </c>
      <c r="N266">
        <f t="shared" si="204"/>
        <v>1.7777777777777778E-2</v>
      </c>
    </row>
    <row r="267" spans="1:14" x14ac:dyDescent="0.25">
      <c r="A267">
        <f t="shared" si="205"/>
        <v>0.70731707317073167</v>
      </c>
      <c r="B267" s="3">
        <v>145</v>
      </c>
      <c r="C267" s="3">
        <v>205</v>
      </c>
      <c r="E267">
        <f t="shared" si="203"/>
        <v>5.0000000000000001E-3</v>
      </c>
      <c r="F267">
        <f t="shared" si="203"/>
        <v>5.7407407407407407E-3</v>
      </c>
      <c r="G267">
        <f t="shared" si="204"/>
        <v>6.2500000000000003E-3</v>
      </c>
      <c r="H267">
        <f t="shared" si="204"/>
        <v>6.6666666666666662E-3</v>
      </c>
      <c r="I267">
        <f t="shared" si="204"/>
        <v>7.5000000000000006E-3</v>
      </c>
      <c r="J267">
        <f t="shared" si="204"/>
        <v>8.0000000000000002E-3</v>
      </c>
      <c r="K267">
        <f t="shared" si="204"/>
        <v>8.8888888888888889E-3</v>
      </c>
      <c r="L267">
        <f t="shared" si="204"/>
        <v>1.0833333333333334E-2</v>
      </c>
      <c r="M267">
        <f t="shared" si="204"/>
        <v>1.1666666666666667E-2</v>
      </c>
      <c r="N267">
        <f t="shared" si="204"/>
        <v>1.7777777777777778E-2</v>
      </c>
    </row>
    <row r="268" spans="1:14" x14ac:dyDescent="0.25">
      <c r="A268">
        <f t="shared" si="205"/>
        <v>0.71470588235294119</v>
      </c>
      <c r="B268" s="3">
        <v>243</v>
      </c>
      <c r="C268" s="3">
        <v>340</v>
      </c>
      <c r="E268">
        <f t="shared" si="203"/>
        <v>5.0000000000000001E-3</v>
      </c>
      <c r="F268">
        <f t="shared" si="203"/>
        <v>5.7407407407407407E-3</v>
      </c>
      <c r="G268">
        <f t="shared" si="204"/>
        <v>6.2500000000000003E-3</v>
      </c>
      <c r="H268">
        <f t="shared" si="204"/>
        <v>6.6666666666666662E-3</v>
      </c>
      <c r="I268">
        <f t="shared" si="204"/>
        <v>7.5000000000000006E-3</v>
      </c>
      <c r="J268">
        <f t="shared" si="204"/>
        <v>8.0000000000000002E-3</v>
      </c>
      <c r="K268">
        <f t="shared" si="204"/>
        <v>8.8888888888888889E-3</v>
      </c>
      <c r="L268">
        <f t="shared" si="204"/>
        <v>1.0833333333333334E-2</v>
      </c>
      <c r="M268">
        <f t="shared" si="204"/>
        <v>1.1666666666666667E-2</v>
      </c>
      <c r="N268">
        <f t="shared" si="204"/>
        <v>1.7777777777777778E-2</v>
      </c>
    </row>
    <row r="269" spans="1:14" x14ac:dyDescent="0.25">
      <c r="A269">
        <f t="shared" si="205"/>
        <v>1.1222707423580787</v>
      </c>
      <c r="B269" s="3">
        <v>257</v>
      </c>
      <c r="C269" s="3">
        <v>229</v>
      </c>
      <c r="E269">
        <f t="shared" si="203"/>
        <v>5.0000000000000001E-3</v>
      </c>
      <c r="F269">
        <f t="shared" si="203"/>
        <v>5.7407407407407407E-3</v>
      </c>
      <c r="G269">
        <f t="shared" si="204"/>
        <v>6.2500000000000003E-3</v>
      </c>
      <c r="H269">
        <f t="shared" si="204"/>
        <v>6.6666666666666662E-3</v>
      </c>
      <c r="I269">
        <f t="shared" si="204"/>
        <v>7.5000000000000006E-3</v>
      </c>
      <c r="J269">
        <f t="shared" si="204"/>
        <v>8.0000000000000002E-3</v>
      </c>
      <c r="K269">
        <f t="shared" si="204"/>
        <v>8.8888888888888889E-3</v>
      </c>
      <c r="L269">
        <f t="shared" si="204"/>
        <v>1.0833333333333334E-2</v>
      </c>
      <c r="M269">
        <f t="shared" si="204"/>
        <v>1.1666666666666667E-2</v>
      </c>
      <c r="N269">
        <f t="shared" si="204"/>
        <v>1.7777777777777778E-2</v>
      </c>
    </row>
    <row r="270" spans="1:14" x14ac:dyDescent="0.25">
      <c r="A270">
        <f t="shared" si="205"/>
        <v>0.85550458715596334</v>
      </c>
      <c r="B270" s="3">
        <v>373</v>
      </c>
      <c r="C270" s="3">
        <v>436</v>
      </c>
      <c r="E270">
        <f t="shared" si="203"/>
        <v>5.0000000000000001E-3</v>
      </c>
      <c r="F270">
        <f t="shared" si="203"/>
        <v>5.7407407407407407E-3</v>
      </c>
      <c r="G270">
        <f t="shared" si="204"/>
        <v>6.2500000000000003E-3</v>
      </c>
      <c r="H270">
        <f t="shared" si="204"/>
        <v>6.6666666666666662E-3</v>
      </c>
      <c r="I270">
        <f t="shared" si="204"/>
        <v>7.5000000000000006E-3</v>
      </c>
      <c r="J270">
        <f t="shared" si="204"/>
        <v>8.0000000000000002E-3</v>
      </c>
      <c r="K270">
        <f t="shared" si="204"/>
        <v>8.8888888888888889E-3</v>
      </c>
      <c r="L270">
        <f t="shared" si="204"/>
        <v>1.0833333333333334E-2</v>
      </c>
      <c r="M270">
        <f t="shared" si="204"/>
        <v>1.1666666666666667E-2</v>
      </c>
      <c r="N270">
        <f t="shared" si="204"/>
        <v>1.7777777777777778E-2</v>
      </c>
    </row>
    <row r="271" spans="1:14" x14ac:dyDescent="0.25">
      <c r="A271">
        <f t="shared" si="205"/>
        <v>0.52222222222222225</v>
      </c>
      <c r="B271" s="3">
        <v>752</v>
      </c>
      <c r="C271" s="3">
        <v>1440</v>
      </c>
      <c r="E271">
        <f t="shared" si="203"/>
        <v>5.0000000000000001E-3</v>
      </c>
      <c r="F271">
        <f t="shared" si="203"/>
        <v>5.7407407407407407E-3</v>
      </c>
      <c r="G271">
        <f t="shared" ref="G271:L271" si="206">($L$1*G$153)/G$154</f>
        <v>6.2500000000000003E-3</v>
      </c>
      <c r="H271">
        <f t="shared" si="206"/>
        <v>6.6666666666666662E-3</v>
      </c>
      <c r="I271">
        <f t="shared" si="206"/>
        <v>7.5000000000000006E-3</v>
      </c>
      <c r="J271">
        <f t="shared" si="206"/>
        <v>8.0000000000000002E-3</v>
      </c>
      <c r="K271">
        <f t="shared" si="206"/>
        <v>8.8888888888888889E-3</v>
      </c>
      <c r="L271">
        <f t="shared" si="206"/>
        <v>1.0833333333333334E-2</v>
      </c>
      <c r="M271">
        <f t="shared" ref="M271:N271" si="207">($L$1*M$153)/M$154</f>
        <v>1.1666666666666667E-2</v>
      </c>
      <c r="N271">
        <f t="shared" si="207"/>
        <v>1.7777777777777778E-2</v>
      </c>
    </row>
    <row r="274" spans="1:27" x14ac:dyDescent="0.25">
      <c r="E274" s="1" t="s">
        <v>19</v>
      </c>
      <c r="G274" s="2"/>
      <c r="H274" s="2"/>
      <c r="I274" s="2"/>
      <c r="J274" s="2"/>
      <c r="K274" s="2"/>
      <c r="R274" s="6" t="s">
        <v>20</v>
      </c>
    </row>
    <row r="275" spans="1:27" x14ac:dyDescent="0.25">
      <c r="E275" s="3">
        <v>1</v>
      </c>
      <c r="F275" s="3">
        <v>8</v>
      </c>
      <c r="G275" s="3">
        <v>5</v>
      </c>
      <c r="H275" s="3">
        <v>4</v>
      </c>
      <c r="I275" s="3">
        <v>3</v>
      </c>
      <c r="J275" s="3">
        <v>16</v>
      </c>
      <c r="K275" s="3">
        <v>16</v>
      </c>
      <c r="L275" s="3">
        <v>19.5</v>
      </c>
      <c r="M275" s="3">
        <v>21</v>
      </c>
      <c r="N275" s="3">
        <v>32</v>
      </c>
      <c r="O275" s="3"/>
      <c r="R275" s="3">
        <v>1</v>
      </c>
      <c r="S275" s="3">
        <v>8</v>
      </c>
      <c r="T275" s="3">
        <v>5</v>
      </c>
      <c r="U275" s="3">
        <v>4</v>
      </c>
      <c r="V275" s="3">
        <v>3</v>
      </c>
      <c r="W275" s="3">
        <v>16</v>
      </c>
      <c r="X275" s="3">
        <v>16</v>
      </c>
      <c r="Y275" s="3">
        <v>19.5</v>
      </c>
      <c r="Z275" s="3">
        <v>21</v>
      </c>
      <c r="AA275" s="3">
        <v>32</v>
      </c>
    </row>
    <row r="276" spans="1:27" x14ac:dyDescent="0.25">
      <c r="E276" s="3">
        <v>1</v>
      </c>
      <c r="F276" s="3">
        <v>7</v>
      </c>
      <c r="G276" s="3">
        <v>4</v>
      </c>
      <c r="H276" s="3">
        <v>3</v>
      </c>
      <c r="I276" s="3">
        <v>2</v>
      </c>
      <c r="J276" s="3">
        <v>10</v>
      </c>
      <c r="K276" s="3">
        <v>9</v>
      </c>
      <c r="L276" s="3">
        <v>9</v>
      </c>
      <c r="M276" s="3">
        <v>9</v>
      </c>
      <c r="N276" s="3">
        <v>9</v>
      </c>
      <c r="O276" s="3"/>
      <c r="R276" s="3">
        <v>1</v>
      </c>
      <c r="S276" s="3">
        <v>7</v>
      </c>
      <c r="T276" s="3">
        <v>4</v>
      </c>
      <c r="U276" s="3">
        <v>3</v>
      </c>
      <c r="V276" s="3">
        <v>2</v>
      </c>
      <c r="W276" s="3">
        <v>10</v>
      </c>
      <c r="X276" s="3">
        <v>9</v>
      </c>
      <c r="Y276" s="3">
        <v>9</v>
      </c>
      <c r="Z276" s="3">
        <v>9</v>
      </c>
      <c r="AA276" s="3">
        <v>9</v>
      </c>
    </row>
    <row r="277" spans="1:27" x14ac:dyDescent="0.25">
      <c r="D277" s="3" t="s">
        <v>0</v>
      </c>
      <c r="E277" s="3">
        <v>720</v>
      </c>
      <c r="F277">
        <v>1240</v>
      </c>
      <c r="G277" s="3">
        <v>900</v>
      </c>
      <c r="H277" s="3">
        <v>960</v>
      </c>
      <c r="I277" s="3">
        <v>1080</v>
      </c>
      <c r="J277" s="3">
        <v>1152</v>
      </c>
      <c r="K277" s="3">
        <v>1280</v>
      </c>
      <c r="L277" s="3">
        <v>1560</v>
      </c>
      <c r="M277" s="3">
        <v>1680</v>
      </c>
      <c r="N277">
        <v>2560</v>
      </c>
      <c r="R277" s="3">
        <v>720</v>
      </c>
      <c r="S277">
        <v>1240</v>
      </c>
      <c r="T277" s="3">
        <v>900</v>
      </c>
      <c r="U277" s="3">
        <v>960</v>
      </c>
      <c r="V277" s="3">
        <v>1080</v>
      </c>
      <c r="W277" s="3">
        <v>1152</v>
      </c>
      <c r="X277" s="3">
        <v>1280</v>
      </c>
      <c r="Y277" s="3">
        <v>1560</v>
      </c>
      <c r="Z277" s="3">
        <v>1680</v>
      </c>
      <c r="AA277">
        <v>2560</v>
      </c>
    </row>
    <row r="278" spans="1:27" x14ac:dyDescent="0.25">
      <c r="B278" s="2" t="s">
        <v>0</v>
      </c>
      <c r="C278" s="2" t="s">
        <v>1</v>
      </c>
      <c r="D278" s="3" t="s">
        <v>1</v>
      </c>
      <c r="E278" s="3">
        <v>720</v>
      </c>
      <c r="F278" s="3">
        <v>1080</v>
      </c>
      <c r="G278" s="3">
        <v>720</v>
      </c>
      <c r="H278" s="3">
        <v>720</v>
      </c>
      <c r="I278" s="3">
        <v>720</v>
      </c>
      <c r="J278" s="3">
        <v>720</v>
      </c>
      <c r="K278" s="3">
        <v>720</v>
      </c>
      <c r="L278" s="3">
        <v>720</v>
      </c>
      <c r="M278" s="3">
        <v>720</v>
      </c>
      <c r="N278" s="3">
        <v>720</v>
      </c>
      <c r="O278" s="3"/>
      <c r="R278" s="3">
        <v>720</v>
      </c>
      <c r="S278" s="3">
        <v>1080</v>
      </c>
      <c r="T278" s="3">
        <v>720</v>
      </c>
      <c r="U278" s="3">
        <v>720</v>
      </c>
      <c r="V278" s="3">
        <v>720</v>
      </c>
      <c r="W278" s="3">
        <v>720</v>
      </c>
      <c r="X278" s="3">
        <v>720</v>
      </c>
      <c r="Y278" s="3">
        <v>720</v>
      </c>
      <c r="Z278" s="3">
        <v>720</v>
      </c>
      <c r="AA278" s="3">
        <v>720</v>
      </c>
    </row>
    <row r="279" spans="1:27" x14ac:dyDescent="0.25">
      <c r="A279">
        <f>B279/C279</f>
        <v>1</v>
      </c>
      <c r="B279" s="3">
        <v>1</v>
      </c>
      <c r="C279" s="3">
        <v>1</v>
      </c>
      <c r="E279">
        <f>E179+1</f>
        <v>5</v>
      </c>
      <c r="F279">
        <f>F179+1</f>
        <v>5</v>
      </c>
      <c r="G279">
        <f t="shared" ref="G279:N279" si="208">G179+1</f>
        <v>6</v>
      </c>
      <c r="H279">
        <f t="shared" si="208"/>
        <v>6</v>
      </c>
      <c r="I279">
        <f t="shared" si="208"/>
        <v>6</v>
      </c>
      <c r="J279">
        <f t="shared" si="208"/>
        <v>6</v>
      </c>
      <c r="K279">
        <f t="shared" si="208"/>
        <v>6</v>
      </c>
      <c r="L279">
        <f t="shared" si="208"/>
        <v>6</v>
      </c>
      <c r="M279">
        <f t="shared" si="208"/>
        <v>7</v>
      </c>
      <c r="N279">
        <f t="shared" si="208"/>
        <v>9</v>
      </c>
      <c r="R279">
        <f t="shared" ref="R279:AA279" si="209">$R$2/E231</f>
        <v>5.8953574060427423</v>
      </c>
      <c r="S279">
        <f t="shared" si="209"/>
        <v>5.1346661278436798</v>
      </c>
      <c r="T279">
        <f t="shared" si="209"/>
        <v>5.7024057024057031</v>
      </c>
      <c r="U279">
        <f t="shared" si="209"/>
        <v>5.3460053460053478</v>
      </c>
      <c r="V279">
        <f t="shared" si="209"/>
        <v>4.752004752004753</v>
      </c>
      <c r="W279">
        <f t="shared" si="209"/>
        <v>4.4550044550044552</v>
      </c>
      <c r="X279">
        <f t="shared" si="209"/>
        <v>4.0095040095040098</v>
      </c>
      <c r="Y279">
        <f t="shared" si="209"/>
        <v>3.2898494436955983</v>
      </c>
      <c r="Z279">
        <f t="shared" si="209"/>
        <v>3.5912015561873423</v>
      </c>
      <c r="AA279">
        <f t="shared" si="209"/>
        <v>3.0770399635313792</v>
      </c>
    </row>
    <row r="280" spans="1:27" x14ac:dyDescent="0.25">
      <c r="A280">
        <f t="shared" ref="A280:A295" si="210">B280/C280</f>
        <v>0.5</v>
      </c>
      <c r="B280" s="3">
        <v>1</v>
      </c>
      <c r="C280" s="3">
        <v>2</v>
      </c>
      <c r="E280">
        <f t="shared" ref="E280:N280" si="211">E180+1</f>
        <v>6</v>
      </c>
      <c r="F280">
        <f t="shared" ref="F280:F295" si="212">F180+1</f>
        <v>6</v>
      </c>
      <c r="G280">
        <f t="shared" si="211"/>
        <v>7</v>
      </c>
      <c r="H280">
        <f t="shared" si="211"/>
        <v>7</v>
      </c>
      <c r="I280">
        <f t="shared" si="211"/>
        <v>7</v>
      </c>
      <c r="J280">
        <f t="shared" si="211"/>
        <v>7</v>
      </c>
      <c r="K280">
        <f t="shared" si="211"/>
        <v>7</v>
      </c>
      <c r="L280">
        <f t="shared" si="211"/>
        <v>7</v>
      </c>
      <c r="M280">
        <f t="shared" si="211"/>
        <v>8</v>
      </c>
      <c r="N280">
        <f t="shared" si="211"/>
        <v>10</v>
      </c>
      <c r="R280">
        <f t="shared" ref="R280:R295" si="213">$R$2/E232</f>
        <v>3.5640035640035643</v>
      </c>
      <c r="S280">
        <f t="shared" ref="S280:S295" si="214">$R$2/F232</f>
        <v>3.1041321363902008</v>
      </c>
      <c r="T280">
        <f t="shared" ref="T280:T295" si="215">$R$2/G232</f>
        <v>3.3517881191081855</v>
      </c>
      <c r="U280">
        <f t="shared" ref="U280:U295" si="216">$R$2/H232</f>
        <v>3.1423013616639239</v>
      </c>
      <c r="V280">
        <f t="shared" ref="V280:V295" si="217">$R$2/I232</f>
        <v>2.7931567659234879</v>
      </c>
      <c r="W280">
        <f t="shared" ref="W280:W295" si="218">$R$2/J232</f>
        <v>2.6185844680532702</v>
      </c>
      <c r="X280">
        <f t="shared" ref="X280:X295" si="219">$R$2/K232</f>
        <v>2.3567260212479431</v>
      </c>
      <c r="Y280">
        <f t="shared" ref="Y280:Y295" si="220">$R$2/L232</f>
        <v>1.9337239148701073</v>
      </c>
      <c r="Z280">
        <f t="shared" ref="Z280:AA280" si="221">$R$2/M232</f>
        <v>2.0678959159055665</v>
      </c>
      <c r="AA280">
        <f t="shared" si="221"/>
        <v>1.7228177641653912</v>
      </c>
    </row>
    <row r="281" spans="1:27" x14ac:dyDescent="0.25">
      <c r="A281">
        <f t="shared" si="210"/>
        <v>0.66666666666666663</v>
      </c>
      <c r="B281" s="3">
        <v>2</v>
      </c>
      <c r="C281" s="3">
        <v>3</v>
      </c>
      <c r="E281">
        <f t="shared" ref="E281:N281" si="222">E181+1</f>
        <v>5</v>
      </c>
      <c r="F281">
        <f t="shared" si="212"/>
        <v>5</v>
      </c>
      <c r="G281">
        <f t="shared" si="222"/>
        <v>6</v>
      </c>
      <c r="H281">
        <f t="shared" si="222"/>
        <v>6</v>
      </c>
      <c r="I281">
        <f t="shared" si="222"/>
        <v>6</v>
      </c>
      <c r="J281">
        <f t="shared" si="222"/>
        <v>6</v>
      </c>
      <c r="K281">
        <f t="shared" si="222"/>
        <v>6</v>
      </c>
      <c r="L281">
        <f t="shared" si="222"/>
        <v>6</v>
      </c>
      <c r="M281">
        <f t="shared" si="222"/>
        <v>7</v>
      </c>
      <c r="N281">
        <f t="shared" si="222"/>
        <v>9</v>
      </c>
      <c r="R281">
        <f t="shared" si="213"/>
        <v>3.9302382706951615</v>
      </c>
      <c r="S281">
        <f t="shared" si="214"/>
        <v>3.423110751895786</v>
      </c>
      <c r="T281">
        <f t="shared" si="215"/>
        <v>3.8016038016038025</v>
      </c>
      <c r="U281">
        <f t="shared" si="216"/>
        <v>3.5640035640035643</v>
      </c>
      <c r="V281">
        <f t="shared" si="217"/>
        <v>3.1680031680031684</v>
      </c>
      <c r="W281">
        <f t="shared" si="218"/>
        <v>2.9700029700029704</v>
      </c>
      <c r="X281">
        <f t="shared" si="219"/>
        <v>2.6730026730026739</v>
      </c>
      <c r="Y281">
        <f t="shared" si="220"/>
        <v>2.1932329624637319</v>
      </c>
      <c r="Z281">
        <f t="shared" ref="Z281:AA281" si="223">$R$2/M233</f>
        <v>2.3941343707915612</v>
      </c>
      <c r="AA281">
        <f t="shared" si="223"/>
        <v>2.051359975687586</v>
      </c>
    </row>
    <row r="282" spans="1:27" x14ac:dyDescent="0.25">
      <c r="A282">
        <f t="shared" si="210"/>
        <v>0.75</v>
      </c>
      <c r="B282" s="3">
        <v>3</v>
      </c>
      <c r="C282" s="3">
        <v>4</v>
      </c>
      <c r="E282">
        <f t="shared" ref="E282:N282" si="224">E182+1</f>
        <v>5</v>
      </c>
      <c r="F282">
        <f t="shared" si="212"/>
        <v>5</v>
      </c>
      <c r="G282">
        <f t="shared" si="224"/>
        <v>6</v>
      </c>
      <c r="H282">
        <f t="shared" si="224"/>
        <v>6</v>
      </c>
      <c r="I282">
        <f t="shared" si="224"/>
        <v>6</v>
      </c>
      <c r="J282">
        <f t="shared" si="224"/>
        <v>6</v>
      </c>
      <c r="K282">
        <f t="shared" si="224"/>
        <v>6</v>
      </c>
      <c r="L282">
        <f t="shared" si="224"/>
        <v>6</v>
      </c>
      <c r="M282">
        <f t="shared" si="224"/>
        <v>7</v>
      </c>
      <c r="N282">
        <f t="shared" si="224"/>
        <v>9</v>
      </c>
      <c r="R282">
        <f t="shared" si="213"/>
        <v>4.421518054532056</v>
      </c>
      <c r="S282">
        <f t="shared" si="214"/>
        <v>3.8509995958827594</v>
      </c>
      <c r="T282">
        <f t="shared" si="215"/>
        <v>4.2768042768042775</v>
      </c>
      <c r="U282">
        <f t="shared" si="216"/>
        <v>4.0095040095040098</v>
      </c>
      <c r="V282">
        <f t="shared" si="217"/>
        <v>3.5640035640035643</v>
      </c>
      <c r="W282">
        <f t="shared" si="218"/>
        <v>3.3412533412533412</v>
      </c>
      <c r="X282">
        <f t="shared" si="219"/>
        <v>3.0071280071280078</v>
      </c>
      <c r="Y282">
        <f t="shared" si="220"/>
        <v>2.4673870827716988</v>
      </c>
      <c r="Z282">
        <f t="shared" ref="Z282:AA282" si="225">$R$2/M234</f>
        <v>2.6934011671405069</v>
      </c>
      <c r="AA282">
        <f t="shared" si="225"/>
        <v>2.3077799726485342</v>
      </c>
    </row>
    <row r="283" spans="1:27" x14ac:dyDescent="0.25">
      <c r="A283">
        <f t="shared" si="210"/>
        <v>0.6</v>
      </c>
      <c r="B283" s="3">
        <v>3</v>
      </c>
      <c r="C283" s="3">
        <v>5</v>
      </c>
      <c r="E283">
        <f t="shared" ref="E283:N283" si="226">E183+1</f>
        <v>6</v>
      </c>
      <c r="F283">
        <f t="shared" si="212"/>
        <v>6</v>
      </c>
      <c r="G283">
        <f t="shared" si="226"/>
        <v>7</v>
      </c>
      <c r="H283">
        <f t="shared" si="226"/>
        <v>7</v>
      </c>
      <c r="I283">
        <f t="shared" si="226"/>
        <v>7</v>
      </c>
      <c r="J283">
        <f t="shared" si="226"/>
        <v>7</v>
      </c>
      <c r="K283">
        <f t="shared" si="226"/>
        <v>7</v>
      </c>
      <c r="L283">
        <f t="shared" si="226"/>
        <v>7</v>
      </c>
      <c r="M283">
        <f t="shared" si="226"/>
        <v>8</v>
      </c>
      <c r="N283">
        <f t="shared" si="226"/>
        <v>10</v>
      </c>
      <c r="R283">
        <f t="shared" si="213"/>
        <v>4.2768042768042767</v>
      </c>
      <c r="S283">
        <f t="shared" si="214"/>
        <v>3.7249585636682414</v>
      </c>
      <c r="T283">
        <f t="shared" si="215"/>
        <v>4.0221457429298217</v>
      </c>
      <c r="U283">
        <f t="shared" si="216"/>
        <v>3.7707616339967087</v>
      </c>
      <c r="V283">
        <f t="shared" si="217"/>
        <v>3.3517881191081855</v>
      </c>
      <c r="W283">
        <f t="shared" si="218"/>
        <v>3.1423013616639239</v>
      </c>
      <c r="X283">
        <f t="shared" si="219"/>
        <v>2.8280712254975318</v>
      </c>
      <c r="Y283">
        <f t="shared" si="220"/>
        <v>2.3204686978441287</v>
      </c>
      <c r="Z283">
        <f t="shared" ref="Z283:AA283" si="227">$R$2/M235</f>
        <v>2.4814750990866794</v>
      </c>
      <c r="AA283">
        <f t="shared" si="227"/>
        <v>2.0673813169984689</v>
      </c>
    </row>
    <row r="284" spans="1:27" x14ac:dyDescent="0.25">
      <c r="A284">
        <f t="shared" si="210"/>
        <v>1.3333333333333333</v>
      </c>
      <c r="B284" s="3">
        <v>4</v>
      </c>
      <c r="C284" s="3">
        <v>3</v>
      </c>
      <c r="E284">
        <f t="shared" ref="E284:N284" si="228">E184+1</f>
        <v>4</v>
      </c>
      <c r="F284">
        <f t="shared" si="212"/>
        <v>4</v>
      </c>
      <c r="G284">
        <f t="shared" si="228"/>
        <v>5</v>
      </c>
      <c r="H284">
        <f t="shared" si="228"/>
        <v>5</v>
      </c>
      <c r="I284">
        <f t="shared" si="228"/>
        <v>5</v>
      </c>
      <c r="J284">
        <f t="shared" si="228"/>
        <v>5</v>
      </c>
      <c r="K284">
        <f t="shared" si="228"/>
        <v>5</v>
      </c>
      <c r="L284">
        <f t="shared" si="228"/>
        <v>5</v>
      </c>
      <c r="M284">
        <f t="shared" si="228"/>
        <v>6</v>
      </c>
      <c r="N284">
        <f t="shared" si="228"/>
        <v>8</v>
      </c>
      <c r="R284">
        <f t="shared" si="213"/>
        <v>6.2414667446850007</v>
      </c>
      <c r="S284">
        <f t="shared" si="214"/>
        <v>5.4361161969837104</v>
      </c>
      <c r="T284">
        <f t="shared" si="215"/>
        <v>6.2883812331122586</v>
      </c>
      <c r="U284">
        <f t="shared" si="216"/>
        <v>5.8953574060427423</v>
      </c>
      <c r="V284">
        <f t="shared" si="217"/>
        <v>5.2403176942602157</v>
      </c>
      <c r="W284">
        <f t="shared" si="218"/>
        <v>4.9127978383689515</v>
      </c>
      <c r="X284">
        <f t="shared" si="219"/>
        <v>4.421518054532056</v>
      </c>
      <c r="Y284">
        <f t="shared" si="220"/>
        <v>3.6279122498724568</v>
      </c>
      <c r="Z284">
        <f t="shared" ref="Z284:AA284" si="229">$R$2/M236</f>
        <v>4.0731469302897878</v>
      </c>
      <c r="AA284">
        <f t="shared" si="229"/>
        <v>3.6188178528347414</v>
      </c>
    </row>
    <row r="285" spans="1:27" x14ac:dyDescent="0.25">
      <c r="A285">
        <f t="shared" si="210"/>
        <v>0.7142857142857143</v>
      </c>
      <c r="B285" s="3">
        <v>5</v>
      </c>
      <c r="C285" s="3">
        <v>7</v>
      </c>
      <c r="E285">
        <f t="shared" ref="E285:N285" si="230">E185+1</f>
        <v>5</v>
      </c>
      <c r="F285">
        <f t="shared" si="212"/>
        <v>5</v>
      </c>
      <c r="G285">
        <f t="shared" si="230"/>
        <v>6</v>
      </c>
      <c r="H285">
        <f t="shared" si="230"/>
        <v>6</v>
      </c>
      <c r="I285">
        <f t="shared" si="230"/>
        <v>6</v>
      </c>
      <c r="J285">
        <f t="shared" si="230"/>
        <v>6</v>
      </c>
      <c r="K285">
        <f t="shared" si="230"/>
        <v>6</v>
      </c>
      <c r="L285">
        <f t="shared" si="230"/>
        <v>6</v>
      </c>
      <c r="M285">
        <f t="shared" si="230"/>
        <v>7</v>
      </c>
      <c r="N285">
        <f t="shared" si="230"/>
        <v>9</v>
      </c>
      <c r="R285">
        <f t="shared" si="213"/>
        <v>4.2109695757448158</v>
      </c>
      <c r="S285">
        <f t="shared" si="214"/>
        <v>3.6676186627454856</v>
      </c>
      <c r="T285">
        <f t="shared" si="215"/>
        <v>4.0731469302897878</v>
      </c>
      <c r="U285">
        <f t="shared" si="216"/>
        <v>3.818575247146677</v>
      </c>
      <c r="V285">
        <f t="shared" si="217"/>
        <v>3.3942891085748239</v>
      </c>
      <c r="W285">
        <f t="shared" si="218"/>
        <v>3.1821460392888965</v>
      </c>
      <c r="X285">
        <f t="shared" si="219"/>
        <v>2.8639314353600076</v>
      </c>
      <c r="Y285">
        <f t="shared" si="220"/>
        <v>2.3498924597825703</v>
      </c>
      <c r="Z285">
        <f t="shared" ref="Z285:AA285" si="231">$R$2/M237</f>
        <v>2.565143968705244</v>
      </c>
      <c r="AA285">
        <f t="shared" si="231"/>
        <v>2.1978856882366995</v>
      </c>
    </row>
    <row r="286" spans="1:27" x14ac:dyDescent="0.25">
      <c r="A286">
        <f t="shared" si="210"/>
        <v>0.5892857142857143</v>
      </c>
      <c r="B286" s="3">
        <v>99</v>
      </c>
      <c r="C286" s="3">
        <v>168</v>
      </c>
      <c r="E286">
        <f t="shared" ref="E286:N286" si="232">E186+1</f>
        <v>6</v>
      </c>
      <c r="F286">
        <f t="shared" si="212"/>
        <v>6</v>
      </c>
      <c r="G286">
        <f t="shared" si="232"/>
        <v>7</v>
      </c>
      <c r="H286">
        <f t="shared" si="232"/>
        <v>7</v>
      </c>
      <c r="I286">
        <f t="shared" si="232"/>
        <v>7</v>
      </c>
      <c r="J286">
        <f t="shared" si="232"/>
        <v>7</v>
      </c>
      <c r="K286">
        <f t="shared" si="232"/>
        <v>7</v>
      </c>
      <c r="L286">
        <f t="shared" si="232"/>
        <v>7</v>
      </c>
      <c r="M286">
        <f t="shared" si="232"/>
        <v>8</v>
      </c>
      <c r="N286">
        <f t="shared" si="232"/>
        <v>10</v>
      </c>
      <c r="R286">
        <f t="shared" si="213"/>
        <v>4.2004327718613439</v>
      </c>
      <c r="S286">
        <f t="shared" si="214"/>
        <v>3.65844144645988</v>
      </c>
      <c r="T286">
        <f t="shared" si="215"/>
        <v>3.9503217118060761</v>
      </c>
      <c r="U286">
        <f t="shared" si="216"/>
        <v>3.7034266048181967</v>
      </c>
      <c r="V286">
        <f t="shared" si="217"/>
        <v>3.2919347598383966</v>
      </c>
      <c r="W286">
        <f t="shared" si="218"/>
        <v>3.0861888373484971</v>
      </c>
      <c r="X286">
        <f t="shared" si="219"/>
        <v>2.7775699536136469</v>
      </c>
      <c r="Y286">
        <f t="shared" si="220"/>
        <v>2.279031756811198</v>
      </c>
      <c r="Z286">
        <f t="shared" ref="Z286:AA286" si="233">$R$2/M238</f>
        <v>2.4371630437458456</v>
      </c>
      <c r="AA286">
        <f t="shared" si="233"/>
        <v>2.0304637934806391</v>
      </c>
    </row>
    <row r="287" spans="1:27" x14ac:dyDescent="0.25">
      <c r="A287">
        <f t="shared" si="210"/>
        <v>0.61764705882352944</v>
      </c>
      <c r="B287" s="3">
        <v>105</v>
      </c>
      <c r="C287" s="3">
        <v>170</v>
      </c>
      <c r="E287">
        <f t="shared" ref="E287:N287" si="234">E187+1</f>
        <v>6</v>
      </c>
      <c r="F287">
        <f t="shared" si="212"/>
        <v>6</v>
      </c>
      <c r="G287">
        <f t="shared" si="234"/>
        <v>7</v>
      </c>
      <c r="H287">
        <f t="shared" si="234"/>
        <v>7</v>
      </c>
      <c r="I287">
        <f t="shared" si="234"/>
        <v>7</v>
      </c>
      <c r="J287">
        <f t="shared" si="234"/>
        <v>7</v>
      </c>
      <c r="K287">
        <f t="shared" si="234"/>
        <v>7</v>
      </c>
      <c r="L287">
        <f t="shared" si="234"/>
        <v>7</v>
      </c>
      <c r="M287">
        <f t="shared" si="234"/>
        <v>8</v>
      </c>
      <c r="N287">
        <f t="shared" si="234"/>
        <v>10</v>
      </c>
      <c r="R287">
        <f t="shared" si="213"/>
        <v>4.4025926378867561</v>
      </c>
      <c r="S287">
        <f t="shared" si="214"/>
        <v>3.8345161684820126</v>
      </c>
      <c r="T287">
        <f t="shared" si="215"/>
        <v>4.1404441471336417</v>
      </c>
      <c r="U287">
        <f t="shared" si="216"/>
        <v>3.8816663879377895</v>
      </c>
      <c r="V287">
        <f t="shared" si="217"/>
        <v>3.4503701226113677</v>
      </c>
      <c r="W287">
        <f t="shared" si="218"/>
        <v>3.2347219899481572</v>
      </c>
      <c r="X287">
        <f t="shared" si="219"/>
        <v>2.9112497909533417</v>
      </c>
      <c r="Y287">
        <f t="shared" si="220"/>
        <v>2.3887177771924852</v>
      </c>
      <c r="Z287">
        <f t="shared" ref="Z287:AA287" si="235">$R$2/M239</f>
        <v>2.5544596608245231</v>
      </c>
      <c r="AA287">
        <f t="shared" si="235"/>
        <v>2.1281866498513655</v>
      </c>
    </row>
    <row r="288" spans="1:27" x14ac:dyDescent="0.25">
      <c r="A288">
        <f t="shared" si="210"/>
        <v>1.6716417910447761</v>
      </c>
      <c r="B288" s="3">
        <v>112</v>
      </c>
      <c r="C288" s="3">
        <v>67</v>
      </c>
      <c r="E288">
        <f t="shared" ref="E288:N288" si="236">E188+1</f>
        <v>4</v>
      </c>
      <c r="F288">
        <f t="shared" si="212"/>
        <v>4</v>
      </c>
      <c r="G288">
        <f t="shared" si="236"/>
        <v>5</v>
      </c>
      <c r="H288">
        <f t="shared" si="236"/>
        <v>5</v>
      </c>
      <c r="I288">
        <f t="shared" si="236"/>
        <v>5</v>
      </c>
      <c r="J288">
        <f t="shared" si="236"/>
        <v>5</v>
      </c>
      <c r="K288">
        <f t="shared" si="236"/>
        <v>5</v>
      </c>
      <c r="L288">
        <f t="shared" si="236"/>
        <v>5</v>
      </c>
      <c r="M288">
        <f t="shared" si="236"/>
        <v>6</v>
      </c>
      <c r="N288">
        <f t="shared" si="236"/>
        <v>8</v>
      </c>
      <c r="R288">
        <f t="shared" si="213"/>
        <v>7.8251224858737336</v>
      </c>
      <c r="S288">
        <f t="shared" si="214"/>
        <v>6.8154292618900261</v>
      </c>
      <c r="T288">
        <f t="shared" si="215"/>
        <v>7.8839406504691008</v>
      </c>
      <c r="U288">
        <f t="shared" si="216"/>
        <v>7.3911943598147811</v>
      </c>
      <c r="V288">
        <f t="shared" si="217"/>
        <v>6.5699505420575832</v>
      </c>
      <c r="W288">
        <f t="shared" si="218"/>
        <v>6.1593286331789843</v>
      </c>
      <c r="X288">
        <f t="shared" si="219"/>
        <v>5.5433957698610872</v>
      </c>
      <c r="Y288">
        <f t="shared" si="220"/>
        <v>4.5484272983475575</v>
      </c>
      <c r="Z288">
        <f t="shared" ref="Z288:AA288" si="237">$R$2/M240</f>
        <v>5.1066319723036147</v>
      </c>
      <c r="AA288">
        <f t="shared" si="237"/>
        <v>4.5370253677331087</v>
      </c>
    </row>
    <row r="289" spans="1:27" x14ac:dyDescent="0.25">
      <c r="A289">
        <f t="shared" si="210"/>
        <v>0.78488372093023251</v>
      </c>
      <c r="B289" s="3">
        <v>135</v>
      </c>
      <c r="C289" s="3">
        <v>172</v>
      </c>
      <c r="E289">
        <f t="shared" ref="E289:N289" si="238">E189+1</f>
        <v>5</v>
      </c>
      <c r="F289">
        <f t="shared" si="212"/>
        <v>5</v>
      </c>
      <c r="G289">
        <f t="shared" si="238"/>
        <v>6</v>
      </c>
      <c r="H289">
        <f t="shared" si="238"/>
        <v>6</v>
      </c>
      <c r="I289">
        <f t="shared" si="238"/>
        <v>6</v>
      </c>
      <c r="J289">
        <f t="shared" si="238"/>
        <v>6</v>
      </c>
      <c r="K289">
        <f t="shared" si="238"/>
        <v>6</v>
      </c>
      <c r="L289">
        <f t="shared" si="238"/>
        <v>6</v>
      </c>
      <c r="M289">
        <f t="shared" si="238"/>
        <v>7</v>
      </c>
      <c r="N289">
        <f t="shared" si="238"/>
        <v>9</v>
      </c>
      <c r="R289">
        <f t="shared" si="213"/>
        <v>4.6271700570684313</v>
      </c>
      <c r="S289">
        <f t="shared" si="214"/>
        <v>4.0301158561563764</v>
      </c>
      <c r="T289">
        <f t="shared" si="215"/>
        <v>4.4757254059579648</v>
      </c>
      <c r="U289">
        <f t="shared" si="216"/>
        <v>4.1959925680855923</v>
      </c>
      <c r="V289">
        <f t="shared" si="217"/>
        <v>3.7297711716316373</v>
      </c>
      <c r="W289">
        <f t="shared" si="218"/>
        <v>3.4966604734046598</v>
      </c>
      <c r="X289">
        <f t="shared" si="219"/>
        <v>3.146994426064194</v>
      </c>
      <c r="Y289">
        <f t="shared" si="220"/>
        <v>2.5821492726680564</v>
      </c>
      <c r="Z289">
        <f t="shared" ref="Z289:AA289" si="239">$R$2/M241</f>
        <v>2.8186756400307624</v>
      </c>
      <c r="AA289">
        <f t="shared" si="239"/>
        <v>2.4151185760275355</v>
      </c>
    </row>
    <row r="290" spans="1:27" x14ac:dyDescent="0.25">
      <c r="A290">
        <f t="shared" si="210"/>
        <v>0.6908212560386473</v>
      </c>
      <c r="B290" s="3">
        <v>143</v>
      </c>
      <c r="C290" s="3">
        <v>207</v>
      </c>
      <c r="E290">
        <f t="shared" ref="E290:N290" si="240">E190+1</f>
        <v>5</v>
      </c>
      <c r="F290">
        <f t="shared" si="212"/>
        <v>5</v>
      </c>
      <c r="G290">
        <f t="shared" si="240"/>
        <v>6</v>
      </c>
      <c r="H290">
        <f t="shared" si="240"/>
        <v>6</v>
      </c>
      <c r="I290">
        <f t="shared" si="240"/>
        <v>6</v>
      </c>
      <c r="J290">
        <f t="shared" si="240"/>
        <v>6</v>
      </c>
      <c r="K290">
        <f t="shared" si="240"/>
        <v>6</v>
      </c>
      <c r="L290">
        <f t="shared" si="240"/>
        <v>6</v>
      </c>
      <c r="M290">
        <f t="shared" si="240"/>
        <v>7</v>
      </c>
      <c r="N290">
        <f t="shared" si="240"/>
        <v>9</v>
      </c>
      <c r="R290">
        <f t="shared" si="213"/>
        <v>4.072638208039189</v>
      </c>
      <c r="S290">
        <f t="shared" si="214"/>
        <v>3.5471365037760685</v>
      </c>
      <c r="T290">
        <f t="shared" si="215"/>
        <v>3.9393430697778533</v>
      </c>
      <c r="U290">
        <f t="shared" si="216"/>
        <v>3.6931341279167373</v>
      </c>
      <c r="V290">
        <f t="shared" si="217"/>
        <v>3.2827858914815446</v>
      </c>
      <c r="W290">
        <f t="shared" si="218"/>
        <v>3.0776117732639476</v>
      </c>
      <c r="X290">
        <f t="shared" si="219"/>
        <v>2.769850595937553</v>
      </c>
      <c r="Y290">
        <f t="shared" si="220"/>
        <v>2.2726979248718382</v>
      </c>
      <c r="Z290">
        <f t="shared" ref="Z290:AA290" si="241">$R$2/M242</f>
        <v>2.4808783697332846</v>
      </c>
      <c r="AA290">
        <f t="shared" si="241"/>
        <v>2.125684612487861</v>
      </c>
    </row>
    <row r="291" spans="1:27" x14ac:dyDescent="0.25">
      <c r="A291">
        <f t="shared" si="210"/>
        <v>0.70731707317073167</v>
      </c>
      <c r="B291" s="3">
        <v>145</v>
      </c>
      <c r="C291" s="3">
        <v>205</v>
      </c>
      <c r="E291">
        <f t="shared" ref="E291:N291" si="242">E191+1</f>
        <v>5</v>
      </c>
      <c r="F291">
        <f t="shared" si="212"/>
        <v>5</v>
      </c>
      <c r="G291">
        <f t="shared" si="242"/>
        <v>6</v>
      </c>
      <c r="H291">
        <f t="shared" si="242"/>
        <v>6</v>
      </c>
      <c r="I291">
        <f t="shared" si="242"/>
        <v>6</v>
      </c>
      <c r="J291">
        <f t="shared" si="242"/>
        <v>6</v>
      </c>
      <c r="K291">
        <f t="shared" si="242"/>
        <v>6</v>
      </c>
      <c r="L291">
        <f t="shared" si="242"/>
        <v>6</v>
      </c>
      <c r="M291">
        <f t="shared" si="242"/>
        <v>7</v>
      </c>
      <c r="N291">
        <f t="shared" si="242"/>
        <v>9</v>
      </c>
      <c r="R291">
        <f t="shared" si="213"/>
        <v>4.1698869457375487</v>
      </c>
      <c r="S291">
        <f t="shared" si="214"/>
        <v>3.6318370172552852</v>
      </c>
      <c r="T291">
        <f t="shared" si="215"/>
        <v>4.033408911457693</v>
      </c>
      <c r="U291">
        <f t="shared" si="216"/>
        <v>3.7813208544915873</v>
      </c>
      <c r="V291">
        <f t="shared" si="217"/>
        <v>3.3611740928814107</v>
      </c>
      <c r="W291">
        <f t="shared" si="218"/>
        <v>3.1511007120763224</v>
      </c>
      <c r="X291">
        <f t="shared" si="219"/>
        <v>2.8359906408686903</v>
      </c>
      <c r="Y291">
        <f t="shared" si="220"/>
        <v>2.3269666796871307</v>
      </c>
      <c r="Z291">
        <f t="shared" ref="Z291:AA291" si="243">$R$2/M243</f>
        <v>2.5401181738886076</v>
      </c>
      <c r="AA291">
        <f t="shared" si="243"/>
        <v>2.17644290103439</v>
      </c>
    </row>
    <row r="292" spans="1:27" x14ac:dyDescent="0.25">
      <c r="A292">
        <f t="shared" si="210"/>
        <v>0.71470588235294119</v>
      </c>
      <c r="B292" s="3">
        <v>243</v>
      </c>
      <c r="C292" s="3">
        <v>340</v>
      </c>
      <c r="E292">
        <f t="shared" ref="E292:N292" si="244">E192+1</f>
        <v>5</v>
      </c>
      <c r="F292">
        <f t="shared" si="212"/>
        <v>5</v>
      </c>
      <c r="G292">
        <f t="shared" si="244"/>
        <v>6</v>
      </c>
      <c r="H292">
        <f t="shared" si="244"/>
        <v>6</v>
      </c>
      <c r="I292">
        <f t="shared" si="244"/>
        <v>6</v>
      </c>
      <c r="J292">
        <f t="shared" si="244"/>
        <v>6</v>
      </c>
      <c r="K292">
        <f t="shared" si="244"/>
        <v>6</v>
      </c>
      <c r="L292">
        <f t="shared" si="244"/>
        <v>6</v>
      </c>
      <c r="M292">
        <f t="shared" si="244"/>
        <v>7</v>
      </c>
      <c r="N292">
        <f t="shared" si="244"/>
        <v>9</v>
      </c>
      <c r="R292">
        <f t="shared" si="213"/>
        <v>4.2134466166717246</v>
      </c>
      <c r="S292">
        <f t="shared" si="214"/>
        <v>3.6697760854882762</v>
      </c>
      <c r="T292">
        <f t="shared" si="215"/>
        <v>4.0755428990723104</v>
      </c>
      <c r="U292">
        <f t="shared" si="216"/>
        <v>3.8208214678802923</v>
      </c>
      <c r="V292">
        <f t="shared" si="217"/>
        <v>3.3962857492269261</v>
      </c>
      <c r="W292">
        <f t="shared" si="218"/>
        <v>3.1840178899002427</v>
      </c>
      <c r="X292">
        <f t="shared" si="219"/>
        <v>2.865616100910219</v>
      </c>
      <c r="Y292">
        <f t="shared" si="220"/>
        <v>2.3512747494647952</v>
      </c>
      <c r="Z292">
        <f t="shared" ref="Z292:AA292" si="245">$R$2/M244</f>
        <v>2.5666528769221295</v>
      </c>
      <c r="AA292">
        <f t="shared" si="245"/>
        <v>2.1991785621709559</v>
      </c>
    </row>
    <row r="293" spans="1:27" x14ac:dyDescent="0.25">
      <c r="A293">
        <f t="shared" si="210"/>
        <v>1.1222707423580787</v>
      </c>
      <c r="B293" s="3">
        <v>257</v>
      </c>
      <c r="C293" s="3">
        <v>229</v>
      </c>
      <c r="E293">
        <f t="shared" ref="E293:N293" si="246">E193+1</f>
        <v>4</v>
      </c>
      <c r="F293">
        <f t="shared" si="212"/>
        <v>4</v>
      </c>
      <c r="G293">
        <f t="shared" si="246"/>
        <v>5</v>
      </c>
      <c r="H293">
        <f t="shared" si="246"/>
        <v>5</v>
      </c>
      <c r="I293">
        <f t="shared" si="246"/>
        <v>5</v>
      </c>
      <c r="J293">
        <f t="shared" si="246"/>
        <v>5</v>
      </c>
      <c r="K293">
        <f t="shared" si="246"/>
        <v>5</v>
      </c>
      <c r="L293">
        <f t="shared" si="246"/>
        <v>5</v>
      </c>
      <c r="M293">
        <f t="shared" si="246"/>
        <v>6</v>
      </c>
      <c r="N293">
        <f t="shared" si="246"/>
        <v>8</v>
      </c>
      <c r="R293">
        <f t="shared" si="213"/>
        <v>5.2534616377206724</v>
      </c>
      <c r="S293">
        <f t="shared" si="214"/>
        <v>4.5755956199502625</v>
      </c>
      <c r="T293">
        <f t="shared" si="215"/>
        <v>5.2929497060366266</v>
      </c>
      <c r="U293">
        <f t="shared" si="216"/>
        <v>4.9621403494093386</v>
      </c>
      <c r="V293">
        <f t="shared" si="217"/>
        <v>4.4107914216971897</v>
      </c>
      <c r="W293">
        <f t="shared" si="218"/>
        <v>4.1351169578411158</v>
      </c>
      <c r="X293">
        <f t="shared" si="219"/>
        <v>3.7216052620570039</v>
      </c>
      <c r="Y293">
        <f t="shared" si="220"/>
        <v>3.0536248304057469</v>
      </c>
      <c r="Z293">
        <f t="shared" ref="Z293:AA293" si="247">$R$2/M245</f>
        <v>3.4283802218923869</v>
      </c>
      <c r="AA293">
        <f t="shared" si="247"/>
        <v>3.0459700486196351</v>
      </c>
    </row>
    <row r="294" spans="1:27" x14ac:dyDescent="0.25">
      <c r="A294">
        <f t="shared" si="210"/>
        <v>0.85550458715596334</v>
      </c>
      <c r="B294" s="3">
        <v>373</v>
      </c>
      <c r="C294" s="3">
        <v>436</v>
      </c>
      <c r="E294">
        <f t="shared" ref="E294:N294" si="248">E194+1</f>
        <v>5</v>
      </c>
      <c r="F294">
        <f t="shared" si="212"/>
        <v>5</v>
      </c>
      <c r="G294">
        <f t="shared" si="248"/>
        <v>6</v>
      </c>
      <c r="H294">
        <f t="shared" si="248"/>
        <v>6</v>
      </c>
      <c r="I294">
        <f t="shared" si="248"/>
        <v>6</v>
      </c>
      <c r="J294">
        <f t="shared" si="248"/>
        <v>6</v>
      </c>
      <c r="K294">
        <f t="shared" si="248"/>
        <v>6</v>
      </c>
      <c r="L294">
        <f t="shared" si="248"/>
        <v>6</v>
      </c>
      <c r="M294">
        <f t="shared" si="248"/>
        <v>7</v>
      </c>
      <c r="N294">
        <f t="shared" si="248"/>
        <v>9</v>
      </c>
      <c r="R294">
        <f t="shared" si="213"/>
        <v>5.043505303793447</v>
      </c>
      <c r="S294">
        <f t="shared" si="214"/>
        <v>4.3927304258846158</v>
      </c>
      <c r="T294">
        <f t="shared" si="215"/>
        <v>4.878434236232402</v>
      </c>
      <c r="U294">
        <f t="shared" si="216"/>
        <v>4.5735320964678783</v>
      </c>
      <c r="V294">
        <f t="shared" si="217"/>
        <v>4.0653618635270021</v>
      </c>
      <c r="W294">
        <f t="shared" si="218"/>
        <v>3.8112767470565641</v>
      </c>
      <c r="X294">
        <f t="shared" si="219"/>
        <v>3.4301490723509085</v>
      </c>
      <c r="Y294">
        <f t="shared" si="220"/>
        <v>2.8144812901340783</v>
      </c>
      <c r="Z294">
        <f t="shared" ref="Z294:AA294" si="249">$R$2/M246</f>
        <v>3.0722894047199047</v>
      </c>
      <c r="AA294">
        <f t="shared" si="249"/>
        <v>2.6324218036633131</v>
      </c>
    </row>
    <row r="295" spans="1:27" x14ac:dyDescent="0.25">
      <c r="A295">
        <f t="shared" si="210"/>
        <v>0.52222222222222225</v>
      </c>
      <c r="B295" s="3">
        <v>752</v>
      </c>
      <c r="C295" s="3">
        <v>1440</v>
      </c>
      <c r="E295">
        <f t="shared" ref="E295:N295" si="250">E195+1</f>
        <v>6</v>
      </c>
      <c r="F295">
        <f t="shared" si="212"/>
        <v>6</v>
      </c>
      <c r="G295">
        <f t="shared" si="250"/>
        <v>7</v>
      </c>
      <c r="H295">
        <f t="shared" si="250"/>
        <v>7</v>
      </c>
      <c r="I295">
        <f t="shared" si="250"/>
        <v>7</v>
      </c>
      <c r="J295">
        <f t="shared" si="250"/>
        <v>7</v>
      </c>
      <c r="K295">
        <f t="shared" si="250"/>
        <v>7</v>
      </c>
      <c r="L295">
        <f t="shared" si="250"/>
        <v>7</v>
      </c>
      <c r="M295">
        <f t="shared" si="250"/>
        <v>8</v>
      </c>
      <c r="N295">
        <f t="shared" si="250"/>
        <v>10</v>
      </c>
      <c r="R295">
        <f t="shared" si="213"/>
        <v>3.7224037224037225</v>
      </c>
      <c r="S295">
        <f t="shared" si="214"/>
        <v>3.2420935646742097</v>
      </c>
      <c r="T295">
        <f t="shared" si="215"/>
        <v>3.5007564799574382</v>
      </c>
      <c r="U295">
        <f t="shared" si="216"/>
        <v>3.2819591999600983</v>
      </c>
      <c r="V295">
        <f t="shared" si="217"/>
        <v>2.9172970666311979</v>
      </c>
      <c r="W295">
        <f t="shared" si="218"/>
        <v>2.7349659999667484</v>
      </c>
      <c r="X295">
        <f t="shared" si="219"/>
        <v>2.4614693999700736</v>
      </c>
      <c r="Y295">
        <f t="shared" si="220"/>
        <v>2.0196671999754456</v>
      </c>
      <c r="Z295">
        <f t="shared" ref="Z295:AA295" si="251">$R$2/M247</f>
        <v>2.1598024010569246</v>
      </c>
      <c r="AA295">
        <f t="shared" si="251"/>
        <v>1.7993874425727419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F7AFB-BEAD-403E-A047-43E3F3DC4653}">
  <sheetPr codeName="Sheet3"/>
  <dimension ref="A1:R202"/>
  <sheetViews>
    <sheetView tabSelected="1" zoomScaleNormal="100" workbookViewId="0">
      <selection activeCell="M2" sqref="M2"/>
    </sheetView>
  </sheetViews>
  <sheetFormatPr defaultRowHeight="15" x14ac:dyDescent="0.25"/>
  <cols>
    <col min="17" max="17" width="12.5703125" bestFit="1" customWidth="1"/>
  </cols>
  <sheetData>
    <row r="1" spans="1:18" x14ac:dyDescent="0.25">
      <c r="A1" t="s">
        <v>17</v>
      </c>
    </row>
    <row r="2" spans="1:18" x14ac:dyDescent="0.25">
      <c r="B2" t="s">
        <v>14</v>
      </c>
      <c r="M2" s="5" t="s">
        <v>29</v>
      </c>
      <c r="Q2" t="s">
        <v>23</v>
      </c>
      <c r="R2" t="s">
        <v>35</v>
      </c>
    </row>
    <row r="3" spans="1:18" x14ac:dyDescent="0.25">
      <c r="C3" t="str">
        <f>"&lt;fontSize name="""&amp;$R$2&amp;"""&gt;"</f>
        <v>&lt;fontSize name="small"&gt;</v>
      </c>
      <c r="Q3" t="s">
        <v>23</v>
      </c>
      <c r="R3" t="s">
        <v>24</v>
      </c>
    </row>
    <row r="4" spans="1:18" x14ac:dyDescent="0.25">
      <c r="D4" t="s">
        <v>26</v>
      </c>
      <c r="Q4" t="s">
        <v>23</v>
      </c>
      <c r="R4" t="s">
        <v>28</v>
      </c>
    </row>
    <row r="5" spans="1:18" x14ac:dyDescent="0.25">
      <c r="E5" t="str">
        <f ca="1">Sheet1!Q207</f>
        <v>&lt;gridItemSize&gt;0.11223 0.21491&lt;/gridItemSize&gt;</v>
      </c>
    </row>
    <row r="6" spans="1:18" x14ac:dyDescent="0.25">
      <c r="E6" t="str">
        <f ca="1">Sheet1!Q208</f>
        <v>&lt;gridItemSpacing&gt;0.005 0.005&lt;/gridItemSpacing&gt;</v>
      </c>
    </row>
    <row r="7" spans="1:18" x14ac:dyDescent="0.25">
      <c r="D7" t="s">
        <v>27</v>
      </c>
    </row>
    <row r="8" spans="1:18" x14ac:dyDescent="0.25">
      <c r="C8" t="s">
        <v>25</v>
      </c>
    </row>
    <row r="9" spans="1:18" x14ac:dyDescent="0.25">
      <c r="C9" t="str">
        <f>"&lt;fontSize name="""&amp;$R$3&amp;"""&gt;"</f>
        <v>&lt;fontSize name="medium"&gt;</v>
      </c>
    </row>
    <row r="10" spans="1:18" x14ac:dyDescent="0.25">
      <c r="D10" t="s">
        <v>26</v>
      </c>
    </row>
    <row r="11" spans="1:18" x14ac:dyDescent="0.25">
      <c r="E11" t="str">
        <f ca="1">Sheet1!Q107</f>
        <v>&lt;gridItemSize&gt;0.1357 0.25985&lt;/gridItemSize&gt;</v>
      </c>
    </row>
    <row r="12" spans="1:18" x14ac:dyDescent="0.25">
      <c r="E12" t="str">
        <f ca="1">Sheet1!Q108</f>
        <v>&lt;gridItemSpacing&gt;0.005 0.005&lt;/gridItemSpacing&gt;</v>
      </c>
    </row>
    <row r="13" spans="1:18" x14ac:dyDescent="0.25">
      <c r="D13" t="s">
        <v>27</v>
      </c>
    </row>
    <row r="14" spans="1:18" x14ac:dyDescent="0.25">
      <c r="C14" t="s">
        <v>25</v>
      </c>
    </row>
    <row r="15" spans="1:18" x14ac:dyDescent="0.25">
      <c r="C15" t="str">
        <f>"&lt;fontSize name="""&amp;$R$4&amp;"""&gt;"</f>
        <v>&lt;fontSize name="large"&gt;</v>
      </c>
    </row>
    <row r="16" spans="1:18" x14ac:dyDescent="0.25">
      <c r="D16" t="s">
        <v>26</v>
      </c>
    </row>
    <row r="17" spans="2:5" x14ac:dyDescent="0.25">
      <c r="E17" t="str">
        <f ca="1">Sheet1!Q7</f>
        <v>&lt;gridItemSize&gt;0.1709 0.32725&lt;/gridItemSize&gt;</v>
      </c>
    </row>
    <row r="18" spans="2:5" x14ac:dyDescent="0.25">
      <c r="E18" t="str">
        <f ca="1">Sheet1!Q8</f>
        <v>&lt;gridItemSpacing&gt;0.005 0.005&lt;/gridItemSpacing&gt;</v>
      </c>
    </row>
    <row r="19" spans="2:5" x14ac:dyDescent="0.25">
      <c r="D19" t="s">
        <v>27</v>
      </c>
    </row>
    <row r="20" spans="2:5" x14ac:dyDescent="0.25">
      <c r="C20" t="s">
        <v>25</v>
      </c>
    </row>
    <row r="21" spans="2:5" x14ac:dyDescent="0.25">
      <c r="B21" t="s">
        <v>8</v>
      </c>
    </row>
    <row r="22" spans="2:5" x14ac:dyDescent="0.25">
      <c r="B22" t="s">
        <v>22</v>
      </c>
    </row>
    <row r="23" spans="2:5" x14ac:dyDescent="0.25">
      <c r="C23" t="str">
        <f>"&lt;fontSize name="""&amp;$R$2&amp;"""&gt;"</f>
        <v>&lt;fontSize name="small"&gt;</v>
      </c>
    </row>
    <row r="24" spans="2:5" x14ac:dyDescent="0.25">
      <c r="D24" t="s">
        <v>26</v>
      </c>
    </row>
    <row r="25" spans="2:5" x14ac:dyDescent="0.25">
      <c r="E25" t="str">
        <f ca="1">Sheet1!R207</f>
        <v>&lt;gridItemSize&gt;0.11223 0.24675&lt;/gridItemSize&gt;</v>
      </c>
    </row>
    <row r="26" spans="2:5" x14ac:dyDescent="0.25">
      <c r="E26" t="str">
        <f ca="1">Sheet1!R208</f>
        <v>&lt;gridItemSpacing&gt;0.005 0.00574&lt;/gridItemSpacing&gt;</v>
      </c>
    </row>
    <row r="27" spans="2:5" x14ac:dyDescent="0.25">
      <c r="D27" t="s">
        <v>27</v>
      </c>
    </row>
    <row r="28" spans="2:5" x14ac:dyDescent="0.25">
      <c r="C28" t="s">
        <v>25</v>
      </c>
    </row>
    <row r="29" spans="2:5" x14ac:dyDescent="0.25">
      <c r="C29" t="str">
        <f>"&lt;fontSize name="""&amp;$R$3&amp;"""&gt;"</f>
        <v>&lt;fontSize name="medium"&gt;</v>
      </c>
    </row>
    <row r="30" spans="2:5" x14ac:dyDescent="0.25">
      <c r="D30" t="s">
        <v>26</v>
      </c>
    </row>
    <row r="31" spans="2:5" x14ac:dyDescent="0.25">
      <c r="E31" t="str">
        <f ca="1">Sheet1!R107</f>
        <v>&lt;gridItemSize&gt;0.1357 0.29834&lt;/gridItemSize&gt;</v>
      </c>
    </row>
    <row r="32" spans="2:5" x14ac:dyDescent="0.25">
      <c r="E32" t="str">
        <f ca="1">Sheet1!R108</f>
        <v>&lt;gridItemSpacing&gt;0.005 0.00574&lt;/gridItemSpacing&gt;</v>
      </c>
    </row>
    <row r="33" spans="2:5" x14ac:dyDescent="0.25">
      <c r="D33" t="s">
        <v>27</v>
      </c>
    </row>
    <row r="34" spans="2:5" x14ac:dyDescent="0.25">
      <c r="C34" t="s">
        <v>25</v>
      </c>
    </row>
    <row r="35" spans="2:5" x14ac:dyDescent="0.25">
      <c r="C35" t="str">
        <f>"&lt;fontSize name="""&amp;$R$4&amp;"""&gt;"</f>
        <v>&lt;fontSize name="large"&gt;</v>
      </c>
    </row>
    <row r="36" spans="2:5" x14ac:dyDescent="0.25">
      <c r="D36" t="s">
        <v>26</v>
      </c>
    </row>
    <row r="37" spans="2:5" x14ac:dyDescent="0.25">
      <c r="E37" t="str">
        <f ca="1">Sheet1!R7</f>
        <v>&lt;gridItemSize&gt;0.1709 0.37573&lt;/gridItemSize&gt;</v>
      </c>
    </row>
    <row r="38" spans="2:5" x14ac:dyDescent="0.25">
      <c r="E38" t="str">
        <f ca="1">Sheet1!R8</f>
        <v>&lt;gridItemSpacing&gt;0.005 0.00574&lt;/gridItemSpacing&gt;</v>
      </c>
    </row>
    <row r="39" spans="2:5" x14ac:dyDescent="0.25">
      <c r="D39" t="s">
        <v>27</v>
      </c>
    </row>
    <row r="40" spans="2:5" x14ac:dyDescent="0.25">
      <c r="C40" t="s">
        <v>25</v>
      </c>
    </row>
    <row r="41" spans="2:5" x14ac:dyDescent="0.25">
      <c r="B41" t="s">
        <v>8</v>
      </c>
    </row>
    <row r="42" spans="2:5" x14ac:dyDescent="0.25">
      <c r="B42" t="s">
        <v>13</v>
      </c>
    </row>
    <row r="43" spans="2:5" x14ac:dyDescent="0.25">
      <c r="C43" t="str">
        <f>"&lt;fontSize name="""&amp;$R$2&amp;"""&gt;"</f>
        <v>&lt;fontSize name="small"&gt;</v>
      </c>
    </row>
    <row r="44" spans="2:5" x14ac:dyDescent="0.25">
      <c r="D44" t="s">
        <v>26</v>
      </c>
    </row>
    <row r="45" spans="2:5" x14ac:dyDescent="0.25">
      <c r="E45" t="str">
        <f ca="1">Sheet1!S207</f>
        <v>&lt;gridItemSize&gt;0.09547 0.22852&lt;/gridItemSize&gt;</v>
      </c>
    </row>
    <row r="46" spans="2:5" x14ac:dyDescent="0.25">
      <c r="E46" t="str">
        <f ca="1">Sheet1!S208</f>
        <v>&lt;gridItemSpacing&gt;0.005 0.00625&lt;/gridItemSpacing&gt;</v>
      </c>
    </row>
    <row r="47" spans="2:5" x14ac:dyDescent="0.25">
      <c r="D47" t="s">
        <v>27</v>
      </c>
    </row>
    <row r="48" spans="2:5" x14ac:dyDescent="0.25">
      <c r="C48" t="s">
        <v>25</v>
      </c>
    </row>
    <row r="49" spans="2:5" x14ac:dyDescent="0.25">
      <c r="C49" t="str">
        <f>"&lt;fontSize name="""&amp;$R$3&amp;"""&gt;"</f>
        <v>&lt;fontSize name="medium"&gt;</v>
      </c>
    </row>
    <row r="50" spans="2:5" x14ac:dyDescent="0.25">
      <c r="D50" t="s">
        <v>26</v>
      </c>
    </row>
    <row r="51" spans="2:5" x14ac:dyDescent="0.25">
      <c r="E51" t="str">
        <f ca="1">Sheet1!S107</f>
        <v>&lt;gridItemSize&gt;0.11223 0.26864&lt;/gridItemSize&gt;</v>
      </c>
    </row>
    <row r="52" spans="2:5" x14ac:dyDescent="0.25">
      <c r="E52" t="str">
        <f ca="1">Sheet1!S108</f>
        <v>&lt;gridItemSpacing&gt;0.005 0.00625&lt;/gridItemSpacing&gt;</v>
      </c>
    </row>
    <row r="53" spans="2:5" x14ac:dyDescent="0.25">
      <c r="D53" t="s">
        <v>27</v>
      </c>
    </row>
    <row r="54" spans="2:5" x14ac:dyDescent="0.25">
      <c r="C54" t="s">
        <v>25</v>
      </c>
    </row>
    <row r="55" spans="2:5" x14ac:dyDescent="0.25">
      <c r="C55" t="str">
        <f>"&lt;fontSize name="""&amp;$R$4&amp;"""&gt;"</f>
        <v>&lt;fontSize name="large"&gt;</v>
      </c>
    </row>
    <row r="56" spans="2:5" x14ac:dyDescent="0.25">
      <c r="D56" t="s">
        <v>26</v>
      </c>
    </row>
    <row r="57" spans="2:5" x14ac:dyDescent="0.25">
      <c r="E57" t="str">
        <f ca="1">Sheet1!S7</f>
        <v>&lt;gridItemSize&gt;0.1357 0.32481&lt;/gridItemSize&gt;</v>
      </c>
    </row>
    <row r="58" spans="2:5" x14ac:dyDescent="0.25">
      <c r="E58" t="str">
        <f ca="1">Sheet1!S8</f>
        <v>&lt;gridItemSpacing&gt;0.005 0.00625&lt;/gridItemSpacing&gt;</v>
      </c>
    </row>
    <row r="59" spans="2:5" x14ac:dyDescent="0.25">
      <c r="D59" t="s">
        <v>27</v>
      </c>
    </row>
    <row r="60" spans="2:5" x14ac:dyDescent="0.25">
      <c r="C60" t="s">
        <v>25</v>
      </c>
    </row>
    <row r="61" spans="2:5" x14ac:dyDescent="0.25">
      <c r="B61" t="s">
        <v>8</v>
      </c>
    </row>
    <row r="62" spans="2:5" x14ac:dyDescent="0.25">
      <c r="B62" t="s">
        <v>12</v>
      </c>
    </row>
    <row r="63" spans="2:5" x14ac:dyDescent="0.25">
      <c r="C63" t="str">
        <f>"&lt;fontSize name="""&amp;$R$2&amp;"""&gt;"</f>
        <v>&lt;fontSize name="small"&gt;</v>
      </c>
    </row>
    <row r="64" spans="2:5" x14ac:dyDescent="0.25">
      <c r="D64" t="s">
        <v>26</v>
      </c>
    </row>
    <row r="65" spans="3:5" x14ac:dyDescent="0.25">
      <c r="E65" t="str">
        <f ca="1">Sheet1!T207</f>
        <v>&lt;gridItemSize&gt;0.09547 0.24375&lt;/gridItemSize&gt;</v>
      </c>
    </row>
    <row r="66" spans="3:5" x14ac:dyDescent="0.25">
      <c r="E66" t="str">
        <f ca="1">Sheet1!T208</f>
        <v>&lt;gridItemSpacing&gt;0.005 0.00666&lt;/gridItemSpacing&gt;</v>
      </c>
    </row>
    <row r="67" spans="3:5" x14ac:dyDescent="0.25">
      <c r="D67" t="s">
        <v>27</v>
      </c>
    </row>
    <row r="68" spans="3:5" x14ac:dyDescent="0.25">
      <c r="C68" t="s">
        <v>25</v>
      </c>
    </row>
    <row r="69" spans="3:5" x14ac:dyDescent="0.25">
      <c r="C69" t="str">
        <f>"&lt;fontSize name="""&amp;$R$3&amp;"""&gt;"</f>
        <v>&lt;fontSize name="medium"&gt;</v>
      </c>
    </row>
    <row r="70" spans="3:5" x14ac:dyDescent="0.25">
      <c r="D70" t="s">
        <v>26</v>
      </c>
    </row>
    <row r="71" spans="3:5" x14ac:dyDescent="0.25">
      <c r="E71" t="str">
        <f ca="1">Sheet1!T107</f>
        <v>&lt;gridItemSize&gt;0.11223 0.28655&lt;/gridItemSize&gt;</v>
      </c>
    </row>
    <row r="72" spans="3:5" x14ac:dyDescent="0.25">
      <c r="E72" t="str">
        <f ca="1">Sheet1!T108</f>
        <v>&lt;gridItemSpacing&gt;0.005 0.00666&lt;/gridItemSpacing&gt;</v>
      </c>
    </row>
    <row r="73" spans="3:5" x14ac:dyDescent="0.25">
      <c r="D73" t="s">
        <v>27</v>
      </c>
    </row>
    <row r="74" spans="3:5" x14ac:dyDescent="0.25">
      <c r="C74" t="s">
        <v>25</v>
      </c>
    </row>
    <row r="75" spans="3:5" x14ac:dyDescent="0.25">
      <c r="C75" t="str">
        <f>"&lt;fontSize name="""&amp;$R$4&amp;"""&gt;"</f>
        <v>&lt;fontSize name="large"&gt;</v>
      </c>
    </row>
    <row r="76" spans="3:5" x14ac:dyDescent="0.25">
      <c r="D76" t="s">
        <v>26</v>
      </c>
    </row>
    <row r="77" spans="3:5" x14ac:dyDescent="0.25">
      <c r="E77" t="str">
        <f ca="1">Sheet1!T7</f>
        <v>&lt;gridItemSize&gt;0.1357 0.34646&lt;/gridItemSize&gt;</v>
      </c>
    </row>
    <row r="78" spans="3:5" x14ac:dyDescent="0.25">
      <c r="E78" t="str">
        <f ca="1">Sheet1!T8</f>
        <v>&lt;gridItemSpacing&gt;0.005 0.00666&lt;/gridItemSpacing&gt;</v>
      </c>
    </row>
    <row r="79" spans="3:5" x14ac:dyDescent="0.25">
      <c r="D79" t="s">
        <v>27</v>
      </c>
    </row>
    <row r="80" spans="3:5" x14ac:dyDescent="0.25">
      <c r="C80" t="s">
        <v>25</v>
      </c>
    </row>
    <row r="81" spans="2:5" x14ac:dyDescent="0.25">
      <c r="B81" t="s">
        <v>8</v>
      </c>
    </row>
    <row r="82" spans="2:5" x14ac:dyDescent="0.25">
      <c r="B82" t="s">
        <v>15</v>
      </c>
    </row>
    <row r="83" spans="2:5" x14ac:dyDescent="0.25">
      <c r="C83" t="str">
        <f>"&lt;fontSize name="""&amp;$R$2&amp;"""&gt;"</f>
        <v>&lt;fontSize name="small"&gt;</v>
      </c>
    </row>
    <row r="84" spans="2:5" x14ac:dyDescent="0.25">
      <c r="D84" t="s">
        <v>26</v>
      </c>
    </row>
    <row r="85" spans="2:5" x14ac:dyDescent="0.25">
      <c r="E85" t="str">
        <f ca="1">Sheet1!U207</f>
        <v>&lt;gridItemSize&gt;0.09547 0.27422&lt;/gridItemSize&gt;</v>
      </c>
    </row>
    <row r="86" spans="2:5" x14ac:dyDescent="0.25">
      <c r="E86" t="str">
        <f ca="1">Sheet1!U208</f>
        <v>&lt;gridItemSpacing&gt;0.005 0.0075&lt;/gridItemSpacing&gt;</v>
      </c>
    </row>
    <row r="87" spans="2:5" x14ac:dyDescent="0.25">
      <c r="D87" t="s">
        <v>27</v>
      </c>
    </row>
    <row r="88" spans="2:5" x14ac:dyDescent="0.25">
      <c r="C88" t="s">
        <v>25</v>
      </c>
    </row>
    <row r="89" spans="2:5" x14ac:dyDescent="0.25">
      <c r="C89" t="str">
        <f>"&lt;fontSize name="""&amp;$R$3&amp;"""&gt;"</f>
        <v>&lt;fontSize name="medium"&gt;</v>
      </c>
    </row>
    <row r="90" spans="2:5" x14ac:dyDescent="0.25">
      <c r="D90" t="s">
        <v>26</v>
      </c>
    </row>
    <row r="91" spans="2:5" x14ac:dyDescent="0.25">
      <c r="E91" t="str">
        <f ca="1">Sheet1!U107</f>
        <v>&lt;gridItemSize&gt;0.11223 0.32237&lt;/gridItemSize&gt;</v>
      </c>
    </row>
    <row r="92" spans="2:5" x14ac:dyDescent="0.25">
      <c r="E92" t="str">
        <f ca="1">Sheet1!U108</f>
        <v>&lt;gridItemSpacing&gt;0.005 0.0075&lt;/gridItemSpacing&gt;</v>
      </c>
    </row>
    <row r="93" spans="2:5" x14ac:dyDescent="0.25">
      <c r="D93" t="s">
        <v>27</v>
      </c>
    </row>
    <row r="94" spans="2:5" x14ac:dyDescent="0.25">
      <c r="C94" t="s">
        <v>25</v>
      </c>
    </row>
    <row r="95" spans="2:5" x14ac:dyDescent="0.25">
      <c r="C95" t="str">
        <f>"&lt;fontSize name="""&amp;$R$4&amp;"""&gt;"</f>
        <v>&lt;fontSize name="large"&gt;</v>
      </c>
    </row>
    <row r="96" spans="2:5" x14ac:dyDescent="0.25">
      <c r="D96" t="s">
        <v>26</v>
      </c>
    </row>
    <row r="97" spans="2:5" x14ac:dyDescent="0.25">
      <c r="E97" t="str">
        <f ca="1">Sheet1!U7</f>
        <v>&lt;gridItemSize&gt;0.1357 0.38977&lt;/gridItemSize&gt;</v>
      </c>
    </row>
    <row r="98" spans="2:5" x14ac:dyDescent="0.25">
      <c r="E98" t="str">
        <f ca="1">Sheet1!U8</f>
        <v>&lt;gridItemSpacing&gt;0.005 0.0075&lt;/gridItemSpacing&gt;</v>
      </c>
    </row>
    <row r="99" spans="2:5" x14ac:dyDescent="0.25">
      <c r="D99" t="s">
        <v>27</v>
      </c>
    </row>
    <row r="100" spans="2:5" x14ac:dyDescent="0.25">
      <c r="C100" t="s">
        <v>25</v>
      </c>
    </row>
    <row r="101" spans="2:5" x14ac:dyDescent="0.25">
      <c r="B101" t="s">
        <v>8</v>
      </c>
    </row>
    <row r="102" spans="2:5" x14ac:dyDescent="0.25">
      <c r="B102" t="s">
        <v>9</v>
      </c>
    </row>
    <row r="103" spans="2:5" x14ac:dyDescent="0.25">
      <c r="C103" t="str">
        <f>"&lt;fontSize name="""&amp;$R$2&amp;"""&gt;"</f>
        <v>&lt;fontSize name="small"&gt;</v>
      </c>
    </row>
    <row r="104" spans="2:5" x14ac:dyDescent="0.25">
      <c r="D104" t="s">
        <v>26</v>
      </c>
    </row>
    <row r="105" spans="2:5" x14ac:dyDescent="0.25">
      <c r="E105" t="str">
        <f ca="1">Sheet1!V207</f>
        <v>&lt;gridItemSize&gt;0.09547 0.2925&lt;/gridItemSize&gt;</v>
      </c>
    </row>
    <row r="106" spans="2:5" x14ac:dyDescent="0.25">
      <c r="E106" t="str">
        <f ca="1">Sheet1!V208</f>
        <v>&lt;gridItemSpacing&gt;0.005 0.008&lt;/gridItemSpacing&gt;</v>
      </c>
    </row>
    <row r="107" spans="2:5" x14ac:dyDescent="0.25">
      <c r="D107" t="s">
        <v>27</v>
      </c>
    </row>
    <row r="108" spans="2:5" x14ac:dyDescent="0.25">
      <c r="C108" t="s">
        <v>25</v>
      </c>
    </row>
    <row r="109" spans="2:5" x14ac:dyDescent="0.25">
      <c r="C109" t="str">
        <f>"&lt;fontSize name="""&amp;$R$3&amp;"""&gt;"</f>
        <v>&lt;fontSize name="medium"&gt;</v>
      </c>
    </row>
    <row r="110" spans="2:5" x14ac:dyDescent="0.25">
      <c r="D110" t="s">
        <v>26</v>
      </c>
    </row>
    <row r="111" spans="2:5" x14ac:dyDescent="0.25">
      <c r="E111" t="str">
        <f ca="1">Sheet1!V107</f>
        <v>&lt;gridItemSize&gt;0.11223 0.34386&lt;/gridItemSize&gt;</v>
      </c>
    </row>
    <row r="112" spans="2:5" x14ac:dyDescent="0.25">
      <c r="E112" t="str">
        <f ca="1">Sheet1!V108</f>
        <v>&lt;gridItemSpacing&gt;0.005 0.008&lt;/gridItemSpacing&gt;</v>
      </c>
    </row>
    <row r="113" spans="2:5" x14ac:dyDescent="0.25">
      <c r="D113" t="s">
        <v>27</v>
      </c>
    </row>
    <row r="114" spans="2:5" x14ac:dyDescent="0.25">
      <c r="C114" t="s">
        <v>25</v>
      </c>
    </row>
    <row r="115" spans="2:5" x14ac:dyDescent="0.25">
      <c r="C115" t="str">
        <f>"&lt;fontSize name="""&amp;$R$4&amp;"""&gt;"</f>
        <v>&lt;fontSize name="large"&gt;</v>
      </c>
    </row>
    <row r="116" spans="2:5" x14ac:dyDescent="0.25">
      <c r="D116" t="s">
        <v>26</v>
      </c>
    </row>
    <row r="117" spans="2:5" x14ac:dyDescent="0.25">
      <c r="E117" t="str">
        <f ca="1">Sheet1!V7</f>
        <v>&lt;gridItemSize&gt;0.1357 0.41576&lt;/gridItemSize&gt;</v>
      </c>
    </row>
    <row r="118" spans="2:5" x14ac:dyDescent="0.25">
      <c r="E118" t="str">
        <f ca="1">Sheet1!V8</f>
        <v>&lt;gridItemSpacing&gt;0.005 0.008&lt;/gridItemSpacing&gt;</v>
      </c>
    </row>
    <row r="119" spans="2:5" x14ac:dyDescent="0.25">
      <c r="D119" t="s">
        <v>27</v>
      </c>
    </row>
    <row r="120" spans="2:5" x14ac:dyDescent="0.25">
      <c r="C120" t="s">
        <v>25</v>
      </c>
    </row>
    <row r="121" spans="2:5" x14ac:dyDescent="0.25">
      <c r="B121" t="s">
        <v>8</v>
      </c>
    </row>
    <row r="122" spans="2:5" x14ac:dyDescent="0.25">
      <c r="B122" t="s">
        <v>7</v>
      </c>
    </row>
    <row r="123" spans="2:5" x14ac:dyDescent="0.25">
      <c r="C123" t="str">
        <f>"&lt;fontSize name="""&amp;$R$2&amp;"""&gt;"</f>
        <v>&lt;fontSize name="small"&gt;</v>
      </c>
    </row>
    <row r="124" spans="2:5" x14ac:dyDescent="0.25">
      <c r="D124" t="s">
        <v>26</v>
      </c>
    </row>
    <row r="125" spans="2:5" x14ac:dyDescent="0.25">
      <c r="E125" t="str">
        <f ca="1">Sheet1!W207</f>
        <v>&lt;gridItemSize&gt;0.09547 0.325&lt;/gridItemSize&gt;</v>
      </c>
    </row>
    <row r="126" spans="2:5" x14ac:dyDescent="0.25">
      <c r="E126" t="str">
        <f ca="1">Sheet1!W208</f>
        <v>&lt;gridItemSpacing&gt;0.005 0.00888&lt;/gridItemSpacing&gt;</v>
      </c>
    </row>
    <row r="127" spans="2:5" x14ac:dyDescent="0.25">
      <c r="D127" t="s">
        <v>27</v>
      </c>
    </row>
    <row r="128" spans="2:5" x14ac:dyDescent="0.25">
      <c r="C128" t="s">
        <v>25</v>
      </c>
    </row>
    <row r="129" spans="2:5" x14ac:dyDescent="0.25">
      <c r="C129" t="str">
        <f>"&lt;fontSize name="""&amp;$R$3&amp;"""&gt;"</f>
        <v>&lt;fontSize name="medium"&gt;</v>
      </c>
    </row>
    <row r="130" spans="2:5" x14ac:dyDescent="0.25">
      <c r="D130" t="s">
        <v>26</v>
      </c>
    </row>
    <row r="131" spans="2:5" x14ac:dyDescent="0.25">
      <c r="E131" t="str">
        <f ca="1">Sheet1!W107</f>
        <v>&lt;gridItemSize&gt;0.11223 0.38207&lt;/gridItemSize&gt;</v>
      </c>
    </row>
    <row r="132" spans="2:5" x14ac:dyDescent="0.25">
      <c r="E132" t="str">
        <f ca="1">Sheet1!W108</f>
        <v>&lt;gridItemSpacing&gt;0.005 0.00888&lt;/gridItemSpacing&gt;</v>
      </c>
    </row>
    <row r="133" spans="2:5" x14ac:dyDescent="0.25">
      <c r="D133" t="s">
        <v>27</v>
      </c>
    </row>
    <row r="134" spans="2:5" x14ac:dyDescent="0.25">
      <c r="C134" t="s">
        <v>25</v>
      </c>
    </row>
    <row r="135" spans="2:5" x14ac:dyDescent="0.25">
      <c r="C135" t="str">
        <f>"&lt;fontSize name="""&amp;$R$4&amp;"""&gt;"</f>
        <v>&lt;fontSize name="large"&gt;</v>
      </c>
    </row>
    <row r="136" spans="2:5" x14ac:dyDescent="0.25">
      <c r="D136" t="s">
        <v>26</v>
      </c>
    </row>
    <row r="137" spans="2:5" x14ac:dyDescent="0.25">
      <c r="E137" t="str">
        <f ca="1">Sheet1!W7</f>
        <v>&lt;gridItemSize&gt;0.1357 0.46195&lt;/gridItemSize&gt;</v>
      </c>
    </row>
    <row r="138" spans="2:5" x14ac:dyDescent="0.25">
      <c r="E138" t="str">
        <f ca="1">Sheet1!W8</f>
        <v>&lt;gridItemSpacing&gt;0.005 0.00888&lt;/gridItemSpacing&gt;</v>
      </c>
    </row>
    <row r="139" spans="2:5" x14ac:dyDescent="0.25">
      <c r="D139" t="s">
        <v>27</v>
      </c>
    </row>
    <row r="140" spans="2:5" x14ac:dyDescent="0.25">
      <c r="C140" t="s">
        <v>25</v>
      </c>
    </row>
    <row r="141" spans="2:5" x14ac:dyDescent="0.25">
      <c r="B141" t="s">
        <v>8</v>
      </c>
    </row>
    <row r="142" spans="2:5" x14ac:dyDescent="0.25">
      <c r="B142" t="s">
        <v>10</v>
      </c>
    </row>
    <row r="143" spans="2:5" x14ac:dyDescent="0.25">
      <c r="C143" t="str">
        <f>"&lt;fontSize name="""&amp;$R$2&amp;"""&gt;"</f>
        <v>&lt;fontSize name="small"&gt;</v>
      </c>
    </row>
    <row r="144" spans="2:5" x14ac:dyDescent="0.25">
      <c r="D144" t="s">
        <v>26</v>
      </c>
    </row>
    <row r="145" spans="3:5" x14ac:dyDescent="0.25">
      <c r="E145" t="str">
        <f ca="1">Sheet1!X207</f>
        <v>&lt;gridItemSize&gt;0.09547 0.3961&lt;/gridItemSize&gt;</v>
      </c>
    </row>
    <row r="146" spans="3:5" x14ac:dyDescent="0.25">
      <c r="E146" t="str">
        <f ca="1">Sheet1!X208</f>
        <v>&lt;gridItemSpacing&gt;0.005 0.01083&lt;/gridItemSpacing&gt;</v>
      </c>
    </row>
    <row r="147" spans="3:5" x14ac:dyDescent="0.25">
      <c r="D147" t="s">
        <v>27</v>
      </c>
    </row>
    <row r="148" spans="3:5" x14ac:dyDescent="0.25">
      <c r="C148" t="s">
        <v>25</v>
      </c>
    </row>
    <row r="149" spans="3:5" x14ac:dyDescent="0.25">
      <c r="C149" t="str">
        <f>"&lt;fontSize name="""&amp;$R$3&amp;"""&gt;"</f>
        <v>&lt;fontSize name="medium"&gt;</v>
      </c>
    </row>
    <row r="150" spans="3:5" x14ac:dyDescent="0.25">
      <c r="D150" t="s">
        <v>26</v>
      </c>
    </row>
    <row r="151" spans="3:5" x14ac:dyDescent="0.25">
      <c r="E151" t="str">
        <f ca="1">Sheet1!X107</f>
        <v>&lt;gridItemSize&gt;0.11223 0.46564&lt;/gridItemSize&gt;</v>
      </c>
    </row>
    <row r="152" spans="3:5" x14ac:dyDescent="0.25">
      <c r="E152" t="str">
        <f ca="1">Sheet1!X108</f>
        <v>&lt;gridItemSpacing&gt;0.005 0.01083&lt;/gridItemSpacing&gt;</v>
      </c>
    </row>
    <row r="153" spans="3:5" x14ac:dyDescent="0.25">
      <c r="D153" t="s">
        <v>27</v>
      </c>
    </row>
    <row r="154" spans="3:5" x14ac:dyDescent="0.25">
      <c r="C154" t="s">
        <v>25</v>
      </c>
    </row>
    <row r="155" spans="3:5" x14ac:dyDescent="0.25">
      <c r="C155" t="str">
        <f>"&lt;fontSize name="""&amp;$R$4&amp;"""&gt;"</f>
        <v>&lt;fontSize name="large"&gt;</v>
      </c>
    </row>
    <row r="156" spans="3:5" x14ac:dyDescent="0.25">
      <c r="D156" t="s">
        <v>26</v>
      </c>
    </row>
    <row r="157" spans="3:5" x14ac:dyDescent="0.25">
      <c r="E157" t="str">
        <f ca="1">Sheet1!X7</f>
        <v>&lt;gridItemSize&gt;0.1357 0.56301&lt;/gridItemSize&gt;</v>
      </c>
    </row>
    <row r="158" spans="3:5" x14ac:dyDescent="0.25">
      <c r="E158" t="str">
        <f ca="1">Sheet1!X8</f>
        <v>&lt;gridItemSpacing&gt;0.005 0.01083&lt;/gridItemSpacing&gt;</v>
      </c>
    </row>
    <row r="159" spans="3:5" x14ac:dyDescent="0.25">
      <c r="D159" t="s">
        <v>27</v>
      </c>
    </row>
    <row r="160" spans="3:5" x14ac:dyDescent="0.25">
      <c r="C160" t="s">
        <v>25</v>
      </c>
    </row>
    <row r="161" spans="2:5" x14ac:dyDescent="0.25">
      <c r="B161" t="s">
        <v>8</v>
      </c>
    </row>
    <row r="162" spans="2:5" x14ac:dyDescent="0.25">
      <c r="B162" t="s">
        <v>11</v>
      </c>
    </row>
    <row r="163" spans="2:5" x14ac:dyDescent="0.25">
      <c r="C163" t="str">
        <f>"&lt;fontSize name="""&amp;$R$2&amp;"""&gt;"</f>
        <v>&lt;fontSize name="small"&gt;</v>
      </c>
    </row>
    <row r="164" spans="2:5" x14ac:dyDescent="0.25">
      <c r="D164" t="s">
        <v>26</v>
      </c>
    </row>
    <row r="165" spans="2:5" x14ac:dyDescent="0.25">
      <c r="E165" t="str">
        <f ca="1">Sheet1!Y207</f>
        <v>&lt;gridItemSize&gt;0.0829 0.3704&lt;/gridItemSize&gt;</v>
      </c>
    </row>
    <row r="166" spans="2:5" x14ac:dyDescent="0.25">
      <c r="E166" t="str">
        <f ca="1">Sheet1!Y208</f>
        <v>&lt;gridItemSpacing&gt;0.005 0.01166&lt;/gridItemSpacing&gt;</v>
      </c>
    </row>
    <row r="167" spans="2:5" x14ac:dyDescent="0.25">
      <c r="D167" t="s">
        <v>27</v>
      </c>
    </row>
    <row r="168" spans="2:5" x14ac:dyDescent="0.25">
      <c r="C168" t="s">
        <v>25</v>
      </c>
    </row>
    <row r="169" spans="2:5" x14ac:dyDescent="0.25">
      <c r="C169" t="str">
        <f>"&lt;fontSize name="""&amp;$R$3&amp;"""&gt;"</f>
        <v>&lt;fontSize name="medium"&gt;</v>
      </c>
    </row>
    <row r="170" spans="2:5" x14ac:dyDescent="0.25">
      <c r="D170" t="s">
        <v>26</v>
      </c>
    </row>
    <row r="171" spans="2:5" x14ac:dyDescent="0.25">
      <c r="E171" t="str">
        <f ca="1">Sheet1!Y107</f>
        <v>&lt;gridItemSize&gt;0.09547 0.42657&lt;/gridItemSize&gt;</v>
      </c>
    </row>
    <row r="172" spans="2:5" x14ac:dyDescent="0.25">
      <c r="E172" t="str">
        <f ca="1">Sheet1!Y108</f>
        <v>&lt;gridItemSpacing&gt;0.005 0.01166&lt;/gridItemSpacing&gt;</v>
      </c>
    </row>
    <row r="173" spans="2:5" x14ac:dyDescent="0.25">
      <c r="D173" t="s">
        <v>27</v>
      </c>
    </row>
    <row r="174" spans="2:5" x14ac:dyDescent="0.25">
      <c r="C174" t="s">
        <v>25</v>
      </c>
    </row>
    <row r="175" spans="2:5" x14ac:dyDescent="0.25">
      <c r="C175" t="str">
        <f>"&lt;fontSize name="""&amp;$R$4&amp;"""&gt;"</f>
        <v>&lt;fontSize name="large"&gt;</v>
      </c>
    </row>
    <row r="176" spans="2:5" x14ac:dyDescent="0.25">
      <c r="D176" t="s">
        <v>26</v>
      </c>
    </row>
    <row r="177" spans="2:5" x14ac:dyDescent="0.25">
      <c r="E177" t="str">
        <f ca="1">Sheet1!X7</f>
        <v>&lt;gridItemSize&gt;0.1357 0.56301&lt;/gridItemSize&gt;</v>
      </c>
    </row>
    <row r="178" spans="2:5" x14ac:dyDescent="0.25">
      <c r="E178" t="str">
        <f ca="1">Sheet1!X8</f>
        <v>&lt;gridItemSpacing&gt;0.005 0.01083&lt;/gridItemSpacing&gt;</v>
      </c>
    </row>
    <row r="179" spans="2:5" x14ac:dyDescent="0.25">
      <c r="D179" t="s">
        <v>27</v>
      </c>
    </row>
    <row r="180" spans="2:5" x14ac:dyDescent="0.25">
      <c r="C180" t="s">
        <v>25</v>
      </c>
    </row>
    <row r="181" spans="2:5" x14ac:dyDescent="0.25">
      <c r="B181" t="s">
        <v>8</v>
      </c>
    </row>
    <row r="182" spans="2:5" x14ac:dyDescent="0.25">
      <c r="B182" t="s">
        <v>36</v>
      </c>
    </row>
    <row r="183" spans="2:5" x14ac:dyDescent="0.25">
      <c r="C183" t="str">
        <f>"&lt;fontSize name="""&amp;$R$2&amp;"""&gt;"</f>
        <v>&lt;fontSize name="small"&gt;</v>
      </c>
    </row>
    <row r="184" spans="2:5" x14ac:dyDescent="0.25">
      <c r="D184" t="s">
        <v>26</v>
      </c>
    </row>
    <row r="185" spans="2:5" x14ac:dyDescent="0.25">
      <c r="E185" t="str">
        <f ca="1">Sheet1!Z207</f>
        <v>&lt;gridItemSize&gt;0.0653 0.44459&lt;/gridItemSize&gt;</v>
      </c>
    </row>
    <row r="186" spans="2:5" x14ac:dyDescent="0.25">
      <c r="E186" t="str">
        <f ca="1">Sheet1!Z208</f>
        <v>&lt;gridItemSpacing&gt;0.005 0.01777&lt;/gridItemSpacing&gt;</v>
      </c>
    </row>
    <row r="187" spans="2:5" x14ac:dyDescent="0.25">
      <c r="D187" t="s">
        <v>27</v>
      </c>
    </row>
    <row r="188" spans="2:5" x14ac:dyDescent="0.25">
      <c r="C188" t="s">
        <v>25</v>
      </c>
    </row>
    <row r="189" spans="2:5" x14ac:dyDescent="0.25">
      <c r="C189" t="str">
        <f>"&lt;fontSize name="""&amp;$R$3&amp;"""&gt;"</f>
        <v>&lt;fontSize name="medium"&gt;</v>
      </c>
    </row>
    <row r="190" spans="2:5" x14ac:dyDescent="0.25">
      <c r="D190" t="s">
        <v>26</v>
      </c>
    </row>
    <row r="191" spans="2:5" x14ac:dyDescent="0.25">
      <c r="E191" t="str">
        <f ca="1">Sheet1!Z107</f>
        <v>&lt;gridItemSize&gt;0.07312 0.49785&lt;/gridItemSize&gt;</v>
      </c>
    </row>
    <row r="192" spans="2:5" x14ac:dyDescent="0.25">
      <c r="E192" t="str">
        <f ca="1">Sheet1!Z108</f>
        <v>&lt;gridItemSpacing&gt;0.005 0.01777&lt;/gridItemSpacing&gt;</v>
      </c>
    </row>
    <row r="193" spans="1:5" x14ac:dyDescent="0.25">
      <c r="D193" t="s">
        <v>27</v>
      </c>
    </row>
    <row r="194" spans="1:5" x14ac:dyDescent="0.25">
      <c r="C194" t="s">
        <v>25</v>
      </c>
    </row>
    <row r="195" spans="1:5" x14ac:dyDescent="0.25">
      <c r="C195" t="str">
        <f>"&lt;fontSize name="""&amp;$R$4&amp;"""&gt;"</f>
        <v>&lt;fontSize name="large"&gt;</v>
      </c>
    </row>
    <row r="196" spans="1:5" x14ac:dyDescent="0.25">
      <c r="D196" t="s">
        <v>26</v>
      </c>
    </row>
    <row r="197" spans="1:5" x14ac:dyDescent="0.25">
      <c r="E197" t="str">
        <f ca="1">Sheet1!Z7</f>
        <v>&lt;gridItemSize&gt;0.0829 0.56442&lt;/gridItemSize&gt;</v>
      </c>
    </row>
    <row r="198" spans="1:5" x14ac:dyDescent="0.25">
      <c r="E198" t="str">
        <f ca="1">Sheet1!Z8</f>
        <v>&lt;gridItemSpacing&gt;0.005 0.01777&lt;/gridItemSpacing&gt;</v>
      </c>
    </row>
    <row r="199" spans="1:5" x14ac:dyDescent="0.25">
      <c r="D199" t="s">
        <v>27</v>
      </c>
    </row>
    <row r="200" spans="1:5" x14ac:dyDescent="0.25">
      <c r="C200" t="s">
        <v>25</v>
      </c>
    </row>
    <row r="201" spans="1:5" x14ac:dyDescent="0.25">
      <c r="B201" t="s">
        <v>8</v>
      </c>
    </row>
    <row r="202" spans="1:5" x14ac:dyDescent="0.25">
      <c r="A202" t="s">
        <v>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PlainTextAsXml">
                <anchor moveWithCells="1" sizeWithCells="1">
                  <from>
                    <xdr:col>11</xdr:col>
                    <xdr:colOff>600075</xdr:colOff>
                    <xdr:row>4</xdr:row>
                    <xdr:rowOff>57150</xdr:rowOff>
                  </from>
                  <to>
                    <xdr:col>13</xdr:col>
                    <xdr:colOff>142875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87A843-C29A-47B0-92ED-8457329641F0}">
          <x14:formula1>
            <xm:f>Sheet1!$AG$3:$AG$19</xm:f>
          </x14:formula1>
          <xm:sqref>M2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xml</vt:lpstr>
      <vt:lpstr>xml!dropdownList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2025-04-22T01:17:51Z</dcterms:created>
  <dcterms:modified xsi:type="dcterms:W3CDTF">2025-12-02T01:33:07Z</dcterms:modified>
</cp:coreProperties>
</file>