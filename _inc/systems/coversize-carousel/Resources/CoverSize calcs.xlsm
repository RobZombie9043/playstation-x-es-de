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S-DE\ES-DE\themes\playstation-x-es-de\_inc\systems\coversize-carousel\Resources\"/>
    </mc:Choice>
  </mc:AlternateContent>
  <xr:revisionPtr revIDLastSave="0" documentId="13_ncr:1_{653A80B7-953C-4259-A91D-E3F5D25F2DD9}" xr6:coauthVersionLast="47" xr6:coauthVersionMax="47" xr10:uidLastSave="{00000000-0000-0000-0000-000000000000}"/>
  <bookViews>
    <workbookView xWindow="-120" yWindow="-120" windowWidth="38640" windowHeight="15840" activeTab="1" xr2:uid="{927DE51B-CC27-429C-BCD1-72BA80CA9632}"/>
  </bookViews>
  <sheets>
    <sheet name="Sheet1" sheetId="1" r:id="rId1"/>
    <sheet name="xml" sheetId="2" r:id="rId2"/>
  </sheets>
  <definedNames>
    <definedName name="_xleta.MATCH" hidden="1" xlm="1">#NAME?</definedName>
    <definedName name="Drop_Down_1">xml!$M$2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6" i="1" l="1"/>
  <c r="H156" i="1"/>
  <c r="K156" i="1"/>
  <c r="L156" i="1"/>
  <c r="E157" i="1"/>
  <c r="F157" i="1"/>
  <c r="J157" i="1"/>
  <c r="N157" i="1"/>
  <c r="G158" i="1"/>
  <c r="H158" i="1"/>
  <c r="K158" i="1"/>
  <c r="L158" i="1"/>
  <c r="E159" i="1"/>
  <c r="F159" i="1"/>
  <c r="J159" i="1"/>
  <c r="N159" i="1"/>
  <c r="G160" i="1"/>
  <c r="H160" i="1"/>
  <c r="K160" i="1"/>
  <c r="L160" i="1"/>
  <c r="E161" i="1"/>
  <c r="F161" i="1"/>
  <c r="J161" i="1"/>
  <c r="N161" i="1"/>
  <c r="G162" i="1"/>
  <c r="H162" i="1"/>
  <c r="K162" i="1"/>
  <c r="L162" i="1"/>
  <c r="E163" i="1"/>
  <c r="F163" i="1"/>
  <c r="J163" i="1"/>
  <c r="N163" i="1"/>
  <c r="G164" i="1"/>
  <c r="H164" i="1"/>
  <c r="K164" i="1"/>
  <c r="L164" i="1"/>
  <c r="E165" i="1"/>
  <c r="F165" i="1"/>
  <c r="J165" i="1"/>
  <c r="N165" i="1"/>
  <c r="G166" i="1"/>
  <c r="H166" i="1"/>
  <c r="K166" i="1"/>
  <c r="L166" i="1"/>
  <c r="E167" i="1"/>
  <c r="F167" i="1"/>
  <c r="J167" i="1"/>
  <c r="N167" i="1"/>
  <c r="G168" i="1"/>
  <c r="H168" i="1"/>
  <c r="K168" i="1"/>
  <c r="L168" i="1"/>
  <c r="E169" i="1"/>
  <c r="F169" i="1"/>
  <c r="J169" i="1"/>
  <c r="N169" i="1"/>
  <c r="G170" i="1"/>
  <c r="H170" i="1"/>
  <c r="K170" i="1"/>
  <c r="L170" i="1"/>
  <c r="E171" i="1"/>
  <c r="F171" i="1"/>
  <c r="J171" i="1"/>
  <c r="N171" i="1"/>
  <c r="G155" i="1"/>
  <c r="H155" i="1"/>
  <c r="K155" i="1"/>
  <c r="L155" i="1"/>
  <c r="E155" i="1"/>
  <c r="E83" i="1"/>
  <c r="G84" i="1"/>
  <c r="G131" i="1" s="1"/>
  <c r="H84" i="1"/>
  <c r="K84" i="1"/>
  <c r="L84" i="1"/>
  <c r="E85" i="1"/>
  <c r="G86" i="1"/>
  <c r="H86" i="1"/>
  <c r="K86" i="1"/>
  <c r="L86" i="1"/>
  <c r="E87" i="1"/>
  <c r="G88" i="1"/>
  <c r="G135" i="1" s="1"/>
  <c r="H88" i="1"/>
  <c r="K88" i="1"/>
  <c r="L88" i="1"/>
  <c r="E89" i="1"/>
  <c r="G90" i="1"/>
  <c r="G137" i="1" s="1"/>
  <c r="H90" i="1"/>
  <c r="K90" i="1"/>
  <c r="L90" i="1"/>
  <c r="E91" i="1"/>
  <c r="G92" i="1"/>
  <c r="H92" i="1"/>
  <c r="K92" i="1"/>
  <c r="L92" i="1"/>
  <c r="E93" i="1"/>
  <c r="G94" i="1"/>
  <c r="G117" i="1" s="1"/>
  <c r="H94" i="1"/>
  <c r="K94" i="1"/>
  <c r="L94" i="1"/>
  <c r="N94" i="1"/>
  <c r="E95" i="1"/>
  <c r="G96" i="1"/>
  <c r="H96" i="1"/>
  <c r="K96" i="1"/>
  <c r="L96" i="1"/>
  <c r="E97" i="1"/>
  <c r="G98" i="1"/>
  <c r="H98" i="1"/>
  <c r="K98" i="1"/>
  <c r="L98" i="1"/>
  <c r="G82" i="1"/>
  <c r="G129" i="1" s="1"/>
  <c r="K82" i="1"/>
  <c r="E82" i="1"/>
  <c r="E129" i="1" s="1"/>
  <c r="P153" i="1"/>
  <c r="F150" i="1"/>
  <c r="G150" i="1"/>
  <c r="G157" i="1" s="1"/>
  <c r="H150" i="1"/>
  <c r="H157" i="1" s="1"/>
  <c r="I150" i="1"/>
  <c r="J150" i="1"/>
  <c r="K150" i="1"/>
  <c r="K157" i="1" s="1"/>
  <c r="L150" i="1"/>
  <c r="L157" i="1" s="1"/>
  <c r="M150" i="1"/>
  <c r="N150" i="1"/>
  <c r="E150" i="1"/>
  <c r="E156" i="1" s="1"/>
  <c r="F77" i="1"/>
  <c r="F84" i="1" s="1"/>
  <c r="G77" i="1"/>
  <c r="G83" i="1" s="1"/>
  <c r="H77" i="1"/>
  <c r="H82" i="1" s="1"/>
  <c r="I77" i="1"/>
  <c r="I84" i="1" s="1"/>
  <c r="J77" i="1"/>
  <c r="J84" i="1" s="1"/>
  <c r="K77" i="1"/>
  <c r="K83" i="1" s="1"/>
  <c r="L77" i="1"/>
  <c r="L82" i="1" s="1"/>
  <c r="M77" i="1"/>
  <c r="M84" i="1" s="1"/>
  <c r="N77" i="1"/>
  <c r="N84" i="1" s="1"/>
  <c r="E77" i="1"/>
  <c r="E84" i="1" s="1"/>
  <c r="N201" i="1"/>
  <c r="F201" i="1"/>
  <c r="N177" i="1"/>
  <c r="F177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N153" i="1"/>
  <c r="F153" i="1"/>
  <c r="N127" i="1"/>
  <c r="F127" i="1"/>
  <c r="N103" i="1"/>
  <c r="F103" i="1"/>
  <c r="A98" i="1"/>
  <c r="A97" i="1"/>
  <c r="A96" i="1"/>
  <c r="E142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N80" i="1"/>
  <c r="F80" i="1"/>
  <c r="F3" i="1"/>
  <c r="G3" i="1"/>
  <c r="H3" i="1"/>
  <c r="I3" i="1"/>
  <c r="J3" i="1"/>
  <c r="K3" i="1"/>
  <c r="L3" i="1"/>
  <c r="M3" i="1"/>
  <c r="N3" i="1"/>
  <c r="E3" i="1"/>
  <c r="N54" i="1"/>
  <c r="F54" i="1"/>
  <c r="N30" i="1"/>
  <c r="F30" i="1"/>
  <c r="N6" i="1"/>
  <c r="F6" i="1"/>
  <c r="G9" i="1"/>
  <c r="M156" i="1" l="1"/>
  <c r="M158" i="1"/>
  <c r="M160" i="1"/>
  <c r="M162" i="1"/>
  <c r="M164" i="1"/>
  <c r="M166" i="1"/>
  <c r="M168" i="1"/>
  <c r="M170" i="1"/>
  <c r="I156" i="1"/>
  <c r="I158" i="1"/>
  <c r="I160" i="1"/>
  <c r="I162" i="1"/>
  <c r="I164" i="1"/>
  <c r="I166" i="1"/>
  <c r="I168" i="1"/>
  <c r="I170" i="1"/>
  <c r="I155" i="1"/>
  <c r="M171" i="1"/>
  <c r="M195" i="1" s="1"/>
  <c r="I169" i="1"/>
  <c r="M167" i="1"/>
  <c r="I165" i="1"/>
  <c r="I189" i="1" s="1"/>
  <c r="M163" i="1"/>
  <c r="M211" i="1" s="1"/>
  <c r="I161" i="1"/>
  <c r="M159" i="1"/>
  <c r="I157" i="1"/>
  <c r="I205" i="1" s="1"/>
  <c r="M155" i="1"/>
  <c r="M203" i="1" s="1"/>
  <c r="N155" i="1"/>
  <c r="N156" i="1"/>
  <c r="N158" i="1"/>
  <c r="N160" i="1"/>
  <c r="N162" i="1"/>
  <c r="N164" i="1"/>
  <c r="N188" i="1" s="1"/>
  <c r="N166" i="1"/>
  <c r="N168" i="1"/>
  <c r="N170" i="1"/>
  <c r="J155" i="1"/>
  <c r="J179" i="1" s="1"/>
  <c r="J156" i="1"/>
  <c r="J204" i="1" s="1"/>
  <c r="J158" i="1"/>
  <c r="J160" i="1"/>
  <c r="J162" i="1"/>
  <c r="J164" i="1"/>
  <c r="J212" i="1" s="1"/>
  <c r="J166" i="1"/>
  <c r="J168" i="1"/>
  <c r="J216" i="1" s="1"/>
  <c r="J170" i="1"/>
  <c r="F155" i="1"/>
  <c r="F203" i="1" s="1"/>
  <c r="F156" i="1"/>
  <c r="F158" i="1"/>
  <c r="F160" i="1"/>
  <c r="F184" i="1" s="1"/>
  <c r="F162" i="1"/>
  <c r="F164" i="1"/>
  <c r="F166" i="1"/>
  <c r="F168" i="1"/>
  <c r="F192" i="1" s="1"/>
  <c r="F170" i="1"/>
  <c r="I171" i="1"/>
  <c r="M169" i="1"/>
  <c r="I167" i="1"/>
  <c r="M165" i="1"/>
  <c r="M189" i="1" s="1"/>
  <c r="I163" i="1"/>
  <c r="M161" i="1"/>
  <c r="I159" i="1"/>
  <c r="I207" i="1" s="1"/>
  <c r="M157" i="1"/>
  <c r="M181" i="1" s="1"/>
  <c r="L171" i="1"/>
  <c r="H171" i="1"/>
  <c r="L169" i="1"/>
  <c r="L193" i="1" s="1"/>
  <c r="H169" i="1"/>
  <c r="L167" i="1"/>
  <c r="H167" i="1"/>
  <c r="L165" i="1"/>
  <c r="L213" i="1" s="1"/>
  <c r="H165" i="1"/>
  <c r="H213" i="1" s="1"/>
  <c r="L163" i="1"/>
  <c r="H163" i="1"/>
  <c r="L161" i="1"/>
  <c r="H161" i="1"/>
  <c r="H185" i="1" s="1"/>
  <c r="L159" i="1"/>
  <c r="L207" i="1" s="1"/>
  <c r="H159" i="1"/>
  <c r="K171" i="1"/>
  <c r="G171" i="1"/>
  <c r="E170" i="1"/>
  <c r="K169" i="1"/>
  <c r="K217" i="1" s="1"/>
  <c r="G169" i="1"/>
  <c r="G193" i="1" s="1"/>
  <c r="E168" i="1"/>
  <c r="K167" i="1"/>
  <c r="G167" i="1"/>
  <c r="E166" i="1"/>
  <c r="K165" i="1"/>
  <c r="K213" i="1" s="1"/>
  <c r="G165" i="1"/>
  <c r="E164" i="1"/>
  <c r="K163" i="1"/>
  <c r="G163" i="1"/>
  <c r="E162" i="1"/>
  <c r="K161" i="1"/>
  <c r="K209" i="1" s="1"/>
  <c r="G161" i="1"/>
  <c r="E160" i="1"/>
  <c r="K159" i="1"/>
  <c r="G159" i="1"/>
  <c r="E158" i="1"/>
  <c r="N97" i="1"/>
  <c r="J97" i="1"/>
  <c r="J144" i="1" s="1"/>
  <c r="F97" i="1"/>
  <c r="F144" i="1" s="1"/>
  <c r="N95" i="1"/>
  <c r="N142" i="1" s="1"/>
  <c r="J95" i="1"/>
  <c r="F95" i="1"/>
  <c r="N93" i="1"/>
  <c r="N140" i="1" s="1"/>
  <c r="J93" i="1"/>
  <c r="J140" i="1" s="1"/>
  <c r="F93" i="1"/>
  <c r="N91" i="1"/>
  <c r="J91" i="1"/>
  <c r="J138" i="1" s="1"/>
  <c r="F91" i="1"/>
  <c r="F138" i="1" s="1"/>
  <c r="N89" i="1"/>
  <c r="J89" i="1"/>
  <c r="F89" i="1"/>
  <c r="N87" i="1"/>
  <c r="N134" i="1" s="1"/>
  <c r="J87" i="1"/>
  <c r="F87" i="1"/>
  <c r="N85" i="1"/>
  <c r="J85" i="1"/>
  <c r="J108" i="1" s="1"/>
  <c r="F85" i="1"/>
  <c r="N83" i="1"/>
  <c r="J83" i="1"/>
  <c r="F83" i="1"/>
  <c r="F106" i="1" s="1"/>
  <c r="N82" i="1"/>
  <c r="J82" i="1"/>
  <c r="J129" i="1" s="1"/>
  <c r="F82" i="1"/>
  <c r="F129" i="1" s="1"/>
  <c r="M97" i="1"/>
  <c r="I97" i="1"/>
  <c r="M95" i="1"/>
  <c r="I95" i="1"/>
  <c r="M93" i="1"/>
  <c r="M140" i="1" s="1"/>
  <c r="I93" i="1"/>
  <c r="M91" i="1"/>
  <c r="I91" i="1"/>
  <c r="M89" i="1"/>
  <c r="M136" i="1" s="1"/>
  <c r="I89" i="1"/>
  <c r="M87" i="1"/>
  <c r="I87" i="1"/>
  <c r="I134" i="1" s="1"/>
  <c r="M85" i="1"/>
  <c r="M132" i="1" s="1"/>
  <c r="I85" i="1"/>
  <c r="M83" i="1"/>
  <c r="I83" i="1"/>
  <c r="I130" i="1" s="1"/>
  <c r="M82" i="1"/>
  <c r="M129" i="1" s="1"/>
  <c r="I82" i="1"/>
  <c r="N98" i="1"/>
  <c r="N121" i="1" s="1"/>
  <c r="J98" i="1"/>
  <c r="J145" i="1" s="1"/>
  <c r="F98" i="1"/>
  <c r="F121" i="1" s="1"/>
  <c r="L97" i="1"/>
  <c r="H97" i="1"/>
  <c r="N96" i="1"/>
  <c r="N143" i="1" s="1"/>
  <c r="J96" i="1"/>
  <c r="J143" i="1" s="1"/>
  <c r="F96" i="1"/>
  <c r="L95" i="1"/>
  <c r="L118" i="1" s="1"/>
  <c r="H95" i="1"/>
  <c r="J94" i="1"/>
  <c r="F94" i="1"/>
  <c r="L93" i="1"/>
  <c r="L116" i="1" s="1"/>
  <c r="H93" i="1"/>
  <c r="N92" i="1"/>
  <c r="N139" i="1" s="1"/>
  <c r="J92" i="1"/>
  <c r="F92" i="1"/>
  <c r="F115" i="1" s="1"/>
  <c r="L91" i="1"/>
  <c r="H91" i="1"/>
  <c r="H138" i="1" s="1"/>
  <c r="N90" i="1"/>
  <c r="J90" i="1"/>
  <c r="J113" i="1" s="1"/>
  <c r="F90" i="1"/>
  <c r="L89" i="1"/>
  <c r="L136" i="1" s="1"/>
  <c r="H89" i="1"/>
  <c r="N88" i="1"/>
  <c r="J88" i="1"/>
  <c r="F88" i="1"/>
  <c r="F111" i="1" s="1"/>
  <c r="L87" i="1"/>
  <c r="H87" i="1"/>
  <c r="N86" i="1"/>
  <c r="N133" i="1" s="1"/>
  <c r="J86" i="1"/>
  <c r="J133" i="1" s="1"/>
  <c r="F86" i="1"/>
  <c r="L85" i="1"/>
  <c r="L108" i="1" s="1"/>
  <c r="H85" i="1"/>
  <c r="H108" i="1" s="1"/>
  <c r="L83" i="1"/>
  <c r="L130" i="1" s="1"/>
  <c r="H83" i="1"/>
  <c r="M98" i="1"/>
  <c r="I98" i="1"/>
  <c r="E98" i="1"/>
  <c r="E121" i="1" s="1"/>
  <c r="K97" i="1"/>
  <c r="G97" i="1"/>
  <c r="G120" i="1" s="1"/>
  <c r="M96" i="1"/>
  <c r="I96" i="1"/>
  <c r="I143" i="1" s="1"/>
  <c r="E96" i="1"/>
  <c r="K95" i="1"/>
  <c r="G95" i="1"/>
  <c r="G142" i="1" s="1"/>
  <c r="M94" i="1"/>
  <c r="M117" i="1" s="1"/>
  <c r="I94" i="1"/>
  <c r="E94" i="1"/>
  <c r="E141" i="1" s="1"/>
  <c r="K93" i="1"/>
  <c r="K140" i="1" s="1"/>
  <c r="G93" i="1"/>
  <c r="G140" i="1" s="1"/>
  <c r="M92" i="1"/>
  <c r="I92" i="1"/>
  <c r="E92" i="1"/>
  <c r="K91" i="1"/>
  <c r="K138" i="1" s="1"/>
  <c r="G91" i="1"/>
  <c r="M90" i="1"/>
  <c r="M137" i="1" s="1"/>
  <c r="I90" i="1"/>
  <c r="I113" i="1" s="1"/>
  <c r="E90" i="1"/>
  <c r="E137" i="1" s="1"/>
  <c r="K89" i="1"/>
  <c r="G89" i="1"/>
  <c r="G136" i="1" s="1"/>
  <c r="M88" i="1"/>
  <c r="I88" i="1"/>
  <c r="I135" i="1" s="1"/>
  <c r="E88" i="1"/>
  <c r="K87" i="1"/>
  <c r="G87" i="1"/>
  <c r="G110" i="1" s="1"/>
  <c r="M86" i="1"/>
  <c r="M109" i="1" s="1"/>
  <c r="I86" i="1"/>
  <c r="E86" i="1"/>
  <c r="E109" i="1" s="1"/>
  <c r="K85" i="1"/>
  <c r="K132" i="1" s="1"/>
  <c r="G85" i="1"/>
  <c r="G108" i="1" s="1"/>
  <c r="F9" i="1"/>
  <c r="G106" i="1"/>
  <c r="H107" i="1"/>
  <c r="E132" i="1"/>
  <c r="H111" i="1"/>
  <c r="G145" i="1"/>
  <c r="H206" i="1"/>
  <c r="L211" i="1"/>
  <c r="E215" i="1"/>
  <c r="K129" i="1"/>
  <c r="K131" i="1"/>
  <c r="K135" i="1"/>
  <c r="E114" i="1"/>
  <c r="E203" i="1"/>
  <c r="K205" i="1"/>
  <c r="G214" i="1"/>
  <c r="N130" i="1"/>
  <c r="J110" i="1"/>
  <c r="J136" i="1"/>
  <c r="F180" i="1"/>
  <c r="J181" i="1"/>
  <c r="N184" i="1"/>
  <c r="F188" i="1"/>
  <c r="J189" i="1"/>
  <c r="J193" i="1"/>
  <c r="L183" i="1"/>
  <c r="F10" i="1"/>
  <c r="F34" i="1" s="1"/>
  <c r="M217" i="1"/>
  <c r="M209" i="1"/>
  <c r="M144" i="1"/>
  <c r="M121" i="1"/>
  <c r="M141" i="1"/>
  <c r="I10" i="1"/>
  <c r="I58" i="1" s="1"/>
  <c r="I217" i="1"/>
  <c r="I213" i="1"/>
  <c r="I209" i="1"/>
  <c r="I140" i="1"/>
  <c r="I145" i="1"/>
  <c r="I141" i="1"/>
  <c r="J105" i="1"/>
  <c r="I132" i="1"/>
  <c r="F109" i="1"/>
  <c r="F136" i="1"/>
  <c r="M138" i="1"/>
  <c r="M207" i="1"/>
  <c r="M215" i="1"/>
  <c r="H11" i="1"/>
  <c r="H212" i="1"/>
  <c r="H208" i="1"/>
  <c r="H180" i="1"/>
  <c r="H143" i="1"/>
  <c r="H115" i="1"/>
  <c r="H217" i="1"/>
  <c r="H205" i="1"/>
  <c r="H116" i="1"/>
  <c r="H130" i="1"/>
  <c r="E131" i="1"/>
  <c r="I131" i="1"/>
  <c r="M131" i="1"/>
  <c r="F132" i="1"/>
  <c r="N108" i="1"/>
  <c r="K133" i="1"/>
  <c r="H134" i="1"/>
  <c r="M135" i="1"/>
  <c r="N136" i="1"/>
  <c r="K137" i="1"/>
  <c r="J139" i="1"/>
  <c r="F140" i="1"/>
  <c r="K141" i="1"/>
  <c r="H142" i="1"/>
  <c r="N144" i="1"/>
  <c r="K145" i="1"/>
  <c r="F205" i="1"/>
  <c r="N205" i="1"/>
  <c r="K182" i="1"/>
  <c r="J208" i="1"/>
  <c r="F185" i="1"/>
  <c r="N185" i="1"/>
  <c r="K186" i="1"/>
  <c r="F213" i="1"/>
  <c r="N213" i="1"/>
  <c r="K214" i="1"/>
  <c r="N117" i="1"/>
  <c r="N137" i="1"/>
  <c r="N219" i="1"/>
  <c r="N215" i="1"/>
  <c r="N211" i="1"/>
  <c r="N207" i="1"/>
  <c r="N203" i="1"/>
  <c r="N114" i="1"/>
  <c r="J121" i="1"/>
  <c r="J141" i="1"/>
  <c r="J215" i="1"/>
  <c r="J183" i="1"/>
  <c r="J118" i="1"/>
  <c r="F117" i="1"/>
  <c r="F137" i="1"/>
  <c r="F219" i="1"/>
  <c r="F215" i="1"/>
  <c r="F211" i="1"/>
  <c r="F207" i="1"/>
  <c r="F142" i="1"/>
  <c r="J106" i="1"/>
  <c r="F134" i="1"/>
  <c r="F143" i="1"/>
  <c r="L203" i="1"/>
  <c r="L179" i="1"/>
  <c r="N180" i="1"/>
  <c r="J209" i="1"/>
  <c r="L215" i="1"/>
  <c r="L191" i="1"/>
  <c r="N192" i="1"/>
  <c r="L219" i="1"/>
  <c r="L195" i="1"/>
  <c r="N129" i="1"/>
  <c r="I139" i="1"/>
  <c r="M10" i="1"/>
  <c r="L11" i="1"/>
  <c r="L216" i="1"/>
  <c r="L212" i="1"/>
  <c r="L208" i="1"/>
  <c r="L180" i="1"/>
  <c r="L143" i="1"/>
  <c r="L115" i="1"/>
  <c r="L189" i="1"/>
  <c r="L185" i="1"/>
  <c r="L181" i="1"/>
  <c r="L144" i="1"/>
  <c r="J9" i="1"/>
  <c r="F8" i="1"/>
  <c r="F32" i="1" s="1"/>
  <c r="E11" i="1"/>
  <c r="E59" i="1" s="1"/>
  <c r="E193" i="1"/>
  <c r="E213" i="1"/>
  <c r="E181" i="1"/>
  <c r="E144" i="1"/>
  <c r="E140" i="1"/>
  <c r="E136" i="1"/>
  <c r="E145" i="1"/>
  <c r="K12" i="1"/>
  <c r="K142" i="1"/>
  <c r="K212" i="1"/>
  <c r="K208" i="1"/>
  <c r="K204" i="1"/>
  <c r="K143" i="1"/>
  <c r="K115" i="1"/>
  <c r="G207" i="1"/>
  <c r="G118" i="1"/>
  <c r="G114" i="1"/>
  <c r="G216" i="1"/>
  <c r="G212" i="1"/>
  <c r="G208" i="1"/>
  <c r="G143" i="1"/>
  <c r="G139" i="1"/>
  <c r="H105" i="1"/>
  <c r="L129" i="1"/>
  <c r="M130" i="1"/>
  <c r="J131" i="1"/>
  <c r="N107" i="1"/>
  <c r="H133" i="1"/>
  <c r="L133" i="1"/>
  <c r="E134" i="1"/>
  <c r="J111" i="1"/>
  <c r="N135" i="1"/>
  <c r="H136" i="1"/>
  <c r="L137" i="1"/>
  <c r="I138" i="1"/>
  <c r="E139" i="1"/>
  <c r="M139" i="1"/>
  <c r="L141" i="1"/>
  <c r="I142" i="1"/>
  <c r="E143" i="1"/>
  <c r="L145" i="1"/>
  <c r="G141" i="1"/>
  <c r="I203" i="1"/>
  <c r="G181" i="1"/>
  <c r="G185" i="1"/>
  <c r="L186" i="1"/>
  <c r="I211" i="1"/>
  <c r="G189" i="1"/>
  <c r="L190" i="1"/>
  <c r="I191" i="1"/>
  <c r="L218" i="1"/>
  <c r="I219" i="1"/>
  <c r="L187" i="1"/>
  <c r="E209" i="1"/>
  <c r="E185" i="1"/>
  <c r="M185" i="1"/>
  <c r="E189" i="1"/>
  <c r="H216" i="1"/>
  <c r="H192" i="1"/>
  <c r="L192" i="1"/>
  <c r="E217" i="1"/>
  <c r="M193" i="1"/>
  <c r="K181" i="1"/>
  <c r="G209" i="1"/>
  <c r="G213" i="1"/>
  <c r="L206" i="1"/>
  <c r="L182" i="1"/>
  <c r="E207" i="1"/>
  <c r="E183" i="1"/>
  <c r="I183" i="1"/>
  <c r="M183" i="1"/>
  <c r="H210" i="1"/>
  <c r="H186" i="1"/>
  <c r="L210" i="1"/>
  <c r="E211" i="1"/>
  <c r="E187" i="1"/>
  <c r="I187" i="1"/>
  <c r="H214" i="1"/>
  <c r="H190" i="1"/>
  <c r="L214" i="1"/>
  <c r="E191" i="1"/>
  <c r="I215" i="1"/>
  <c r="M191" i="1"/>
  <c r="H218" i="1"/>
  <c r="H194" i="1"/>
  <c r="E219" i="1"/>
  <c r="E195" i="1"/>
  <c r="I195" i="1"/>
  <c r="E179" i="1"/>
  <c r="J203" i="1"/>
  <c r="G204" i="1"/>
  <c r="G180" i="1"/>
  <c r="F183" i="1"/>
  <c r="J207" i="1"/>
  <c r="N183" i="1"/>
  <c r="G184" i="1"/>
  <c r="J211" i="1"/>
  <c r="J187" i="1"/>
  <c r="F191" i="1"/>
  <c r="K216" i="1"/>
  <c r="K192" i="1"/>
  <c r="J219" i="1"/>
  <c r="J195" i="1"/>
  <c r="J180" i="1"/>
  <c r="J192" i="1"/>
  <c r="L205" i="1"/>
  <c r="E205" i="1"/>
  <c r="M205" i="1"/>
  <c r="F181" i="1"/>
  <c r="J205" i="1"/>
  <c r="G206" i="1"/>
  <c r="G182" i="1"/>
  <c r="K206" i="1"/>
  <c r="F209" i="1"/>
  <c r="J185" i="1"/>
  <c r="N209" i="1"/>
  <c r="G210" i="1"/>
  <c r="G186" i="1"/>
  <c r="K210" i="1"/>
  <c r="F189" i="1"/>
  <c r="J213" i="1"/>
  <c r="G190" i="1"/>
  <c r="K190" i="1"/>
  <c r="F217" i="1"/>
  <c r="F193" i="1"/>
  <c r="J217" i="1"/>
  <c r="N217" i="1"/>
  <c r="N193" i="1"/>
  <c r="G218" i="1"/>
  <c r="G194" i="1"/>
  <c r="K218" i="1"/>
  <c r="K194" i="1"/>
  <c r="I129" i="1"/>
  <c r="I105" i="1"/>
  <c r="J130" i="1"/>
  <c r="L132" i="1"/>
  <c r="I133" i="1"/>
  <c r="I109" i="1"/>
  <c r="N110" i="1"/>
  <c r="M113" i="1"/>
  <c r="N138" i="1"/>
  <c r="E117" i="1"/>
  <c r="J142" i="1"/>
  <c r="L120" i="1"/>
  <c r="M145" i="1"/>
  <c r="K107" i="1"/>
  <c r="G130" i="1"/>
  <c r="K130" i="1"/>
  <c r="K106" i="1"/>
  <c r="H131" i="1"/>
  <c r="L131" i="1"/>
  <c r="L107" i="1"/>
  <c r="F133" i="1"/>
  <c r="K134" i="1"/>
  <c r="K110" i="1"/>
  <c r="H135" i="1"/>
  <c r="L135" i="1"/>
  <c r="L111" i="1"/>
  <c r="J137" i="1"/>
  <c r="G138" i="1"/>
  <c r="H139" i="1"/>
  <c r="F141" i="1"/>
  <c r="N141" i="1"/>
  <c r="K118" i="1"/>
  <c r="H119" i="1"/>
  <c r="F105" i="1"/>
  <c r="E108" i="1"/>
  <c r="G111" i="1"/>
  <c r="M133" i="1"/>
  <c r="F114" i="1"/>
  <c r="I107" i="1"/>
  <c r="F108" i="1"/>
  <c r="N132" i="1"/>
  <c r="H110" i="1"/>
  <c r="L134" i="1"/>
  <c r="L110" i="1"/>
  <c r="E135" i="1"/>
  <c r="E111" i="1"/>
  <c r="N112" i="1"/>
  <c r="L138" i="1"/>
  <c r="L114" i="1"/>
  <c r="F116" i="1"/>
  <c r="N116" i="1"/>
  <c r="L142" i="1"/>
  <c r="M143" i="1"/>
  <c r="M119" i="1"/>
  <c r="N120" i="1"/>
  <c r="G105" i="1"/>
  <c r="I108" i="1"/>
  <c r="E110" i="1"/>
  <c r="K111" i="1"/>
  <c r="G113" i="1"/>
  <c r="M114" i="1"/>
  <c r="I116" i="1"/>
  <c r="E118" i="1"/>
  <c r="E133" i="1"/>
  <c r="J134" i="1"/>
  <c r="I137" i="1"/>
  <c r="L140" i="1"/>
  <c r="I117" i="1"/>
  <c r="H144" i="1"/>
  <c r="H120" i="1"/>
  <c r="E105" i="1"/>
  <c r="H129" i="1"/>
  <c r="F131" i="1"/>
  <c r="F107" i="1"/>
  <c r="N131" i="1"/>
  <c r="L109" i="1"/>
  <c r="F135" i="1"/>
  <c r="G112" i="1"/>
  <c r="K136" i="1"/>
  <c r="K112" i="1"/>
  <c r="H137" i="1"/>
  <c r="H113" i="1"/>
  <c r="L113" i="1"/>
  <c r="F139" i="1"/>
  <c r="G116" i="1"/>
  <c r="H141" i="1"/>
  <c r="H117" i="1"/>
  <c r="F119" i="1"/>
  <c r="J119" i="1"/>
  <c r="G144" i="1"/>
  <c r="K144" i="1"/>
  <c r="K120" i="1"/>
  <c r="H145" i="1"/>
  <c r="H121" i="1"/>
  <c r="K105" i="1"/>
  <c r="G107" i="1"/>
  <c r="G115" i="1"/>
  <c r="M116" i="1"/>
  <c r="K121" i="1"/>
  <c r="L121" i="1"/>
  <c r="J20" i="1"/>
  <c r="J12" i="1"/>
  <c r="F22" i="1"/>
  <c r="F46" i="1" s="1"/>
  <c r="F12" i="1"/>
  <c r="F60" i="1" s="1"/>
  <c r="F17" i="1"/>
  <c r="F41" i="1" s="1"/>
  <c r="H18" i="1"/>
  <c r="H66" i="1" s="1"/>
  <c r="H10" i="1"/>
  <c r="F14" i="1"/>
  <c r="F62" i="1" s="1"/>
  <c r="F57" i="1"/>
  <c r="J23" i="1"/>
  <c r="J15" i="1"/>
  <c r="F21" i="1"/>
  <c r="F45" i="1" s="1"/>
  <c r="F13" i="1"/>
  <c r="F61" i="1" s="1"/>
  <c r="L22" i="1"/>
  <c r="L14" i="1"/>
  <c r="L62" i="1" s="1"/>
  <c r="F18" i="1"/>
  <c r="F42" i="1" s="1"/>
  <c r="E35" i="1"/>
  <c r="J8" i="1"/>
  <c r="J56" i="1" s="1"/>
  <c r="K19" i="1"/>
  <c r="K67" i="1" s="1"/>
  <c r="K11" i="1"/>
  <c r="K59" i="1" s="1"/>
  <c r="G23" i="1"/>
  <c r="G71" i="1" s="1"/>
  <c r="E21" i="1"/>
  <c r="G19" i="1"/>
  <c r="E17" i="1"/>
  <c r="G15" i="1"/>
  <c r="E13" i="1"/>
  <c r="G11" i="1"/>
  <c r="G59" i="1" s="1"/>
  <c r="E9" i="1"/>
  <c r="F38" i="1"/>
  <c r="J24" i="1"/>
  <c r="J72" i="1" s="1"/>
  <c r="K22" i="1"/>
  <c r="J19" i="1"/>
  <c r="J16" i="1"/>
  <c r="K14" i="1"/>
  <c r="J11" i="1"/>
  <c r="J59" i="1" s="1"/>
  <c r="G24" i="1"/>
  <c r="G72" i="1" s="1"/>
  <c r="F23" i="1"/>
  <c r="E22" i="1"/>
  <c r="G20" i="1"/>
  <c r="G68" i="1" s="1"/>
  <c r="F19" i="1"/>
  <c r="F67" i="1" s="1"/>
  <c r="E18" i="1"/>
  <c r="G16" i="1"/>
  <c r="G64" i="1" s="1"/>
  <c r="F15" i="1"/>
  <c r="E14" i="1"/>
  <c r="G12" i="1"/>
  <c r="G60" i="1" s="1"/>
  <c r="F11" i="1"/>
  <c r="E10" i="1"/>
  <c r="K18" i="1"/>
  <c r="K10" i="1"/>
  <c r="G8" i="1"/>
  <c r="G56" i="1" s="1"/>
  <c r="E24" i="1"/>
  <c r="G22" i="1"/>
  <c r="E20" i="1"/>
  <c r="G18" i="1"/>
  <c r="E16" i="1"/>
  <c r="G14" i="1"/>
  <c r="E12" i="1"/>
  <c r="G10" i="1"/>
  <c r="G58" i="1" s="1"/>
  <c r="K23" i="1"/>
  <c r="K71" i="1" s="1"/>
  <c r="H22" i="1"/>
  <c r="H70" i="1" s="1"/>
  <c r="L18" i="1"/>
  <c r="K15" i="1"/>
  <c r="K63" i="1" s="1"/>
  <c r="H14" i="1"/>
  <c r="H62" i="1" s="1"/>
  <c r="L10" i="1"/>
  <c r="L58" i="1" s="1"/>
  <c r="F24" i="1"/>
  <c r="E23" i="1"/>
  <c r="G21" i="1"/>
  <c r="G69" i="1" s="1"/>
  <c r="F20" i="1"/>
  <c r="E19" i="1"/>
  <c r="G17" i="1"/>
  <c r="G65" i="1" s="1"/>
  <c r="F16" i="1"/>
  <c r="E15" i="1"/>
  <c r="G13" i="1"/>
  <c r="G61" i="1" s="1"/>
  <c r="F33" i="1"/>
  <c r="F71" i="1"/>
  <c r="N9" i="1"/>
  <c r="N20" i="1"/>
  <c r="N68" i="1" s="1"/>
  <c r="N24" i="1"/>
  <c r="N72" i="1" s="1"/>
  <c r="N12" i="1"/>
  <c r="N60" i="1" s="1"/>
  <c r="N16" i="1"/>
  <c r="N64" i="1" s="1"/>
  <c r="N8" i="1"/>
  <c r="N32" i="1" s="1"/>
  <c r="N23" i="1"/>
  <c r="N47" i="1" s="1"/>
  <c r="N19" i="1"/>
  <c r="N43" i="1" s="1"/>
  <c r="N15" i="1"/>
  <c r="N39" i="1" s="1"/>
  <c r="N11" i="1"/>
  <c r="N35" i="1" s="1"/>
  <c r="M21" i="1"/>
  <c r="M69" i="1" s="1"/>
  <c r="M17" i="1"/>
  <c r="I17" i="1"/>
  <c r="I65" i="1" s="1"/>
  <c r="M13" i="1"/>
  <c r="M61" i="1" s="1"/>
  <c r="I13" i="1"/>
  <c r="I61" i="1" s="1"/>
  <c r="M9" i="1"/>
  <c r="I9" i="1"/>
  <c r="M8" i="1"/>
  <c r="M56" i="1" s="1"/>
  <c r="I24" i="1"/>
  <c r="I72" i="1" s="1"/>
  <c r="H21" i="1"/>
  <c r="H69" i="1" s="1"/>
  <c r="L17" i="1"/>
  <c r="L65" i="1" s="1"/>
  <c r="H17" i="1"/>
  <c r="H41" i="1" s="1"/>
  <c r="I16" i="1"/>
  <c r="I64" i="1" s="1"/>
  <c r="H13" i="1"/>
  <c r="H61" i="1" s="1"/>
  <c r="I12" i="1"/>
  <c r="I60" i="1" s="1"/>
  <c r="H9" i="1"/>
  <c r="H57" i="1" s="1"/>
  <c r="L8" i="1"/>
  <c r="H8" i="1"/>
  <c r="H32" i="1" s="1"/>
  <c r="L24" i="1"/>
  <c r="L72" i="1" s="1"/>
  <c r="H24" i="1"/>
  <c r="H72" i="1" s="1"/>
  <c r="M23" i="1"/>
  <c r="M71" i="1" s="1"/>
  <c r="I23" i="1"/>
  <c r="I71" i="1" s="1"/>
  <c r="N22" i="1"/>
  <c r="J22" i="1"/>
  <c r="J70" i="1" s="1"/>
  <c r="K21" i="1"/>
  <c r="K69" i="1" s="1"/>
  <c r="L20" i="1"/>
  <c r="L68" i="1" s="1"/>
  <c r="H20" i="1"/>
  <c r="H68" i="1" s="1"/>
  <c r="M19" i="1"/>
  <c r="M67" i="1" s="1"/>
  <c r="I19" i="1"/>
  <c r="I67" i="1" s="1"/>
  <c r="N18" i="1"/>
  <c r="N66" i="1" s="1"/>
  <c r="J18" i="1"/>
  <c r="J66" i="1" s="1"/>
  <c r="K17" i="1"/>
  <c r="K65" i="1" s="1"/>
  <c r="L16" i="1"/>
  <c r="L64" i="1" s="1"/>
  <c r="H16" i="1"/>
  <c r="H64" i="1" s="1"/>
  <c r="M15" i="1"/>
  <c r="M63" i="1" s="1"/>
  <c r="I15" i="1"/>
  <c r="I63" i="1" s="1"/>
  <c r="N14" i="1"/>
  <c r="J14" i="1"/>
  <c r="J62" i="1" s="1"/>
  <c r="K13" i="1"/>
  <c r="K61" i="1" s="1"/>
  <c r="L12" i="1"/>
  <c r="L60" i="1" s="1"/>
  <c r="H12" i="1"/>
  <c r="H60" i="1" s="1"/>
  <c r="M11" i="1"/>
  <c r="I11" i="1"/>
  <c r="N10" i="1"/>
  <c r="J10" i="1"/>
  <c r="K9" i="1"/>
  <c r="K33" i="1" s="1"/>
  <c r="I21" i="1"/>
  <c r="I69" i="1" s="1"/>
  <c r="I8" i="1"/>
  <c r="I56" i="1" s="1"/>
  <c r="M24" i="1"/>
  <c r="M72" i="1" s="1"/>
  <c r="L21" i="1"/>
  <c r="L69" i="1" s="1"/>
  <c r="M20" i="1"/>
  <c r="M68" i="1" s="1"/>
  <c r="I20" i="1"/>
  <c r="M16" i="1"/>
  <c r="M64" i="1" s="1"/>
  <c r="L13" i="1"/>
  <c r="L61" i="1" s="1"/>
  <c r="M12" i="1"/>
  <c r="M60" i="1" s="1"/>
  <c r="L9" i="1"/>
  <c r="L57" i="1" s="1"/>
  <c r="E8" i="1"/>
  <c r="E56" i="1" s="1"/>
  <c r="K8" i="1"/>
  <c r="K24" i="1"/>
  <c r="L23" i="1"/>
  <c r="L71" i="1" s="1"/>
  <c r="H23" i="1"/>
  <c r="M22" i="1"/>
  <c r="M70" i="1" s="1"/>
  <c r="I22" i="1"/>
  <c r="I70" i="1" s="1"/>
  <c r="N21" i="1"/>
  <c r="J21" i="1"/>
  <c r="K20" i="1"/>
  <c r="K68" i="1" s="1"/>
  <c r="L19" i="1"/>
  <c r="L67" i="1" s="1"/>
  <c r="H19" i="1"/>
  <c r="H43" i="1" s="1"/>
  <c r="M18" i="1"/>
  <c r="M66" i="1" s="1"/>
  <c r="I18" i="1"/>
  <c r="I66" i="1" s="1"/>
  <c r="N17" i="1"/>
  <c r="J17" i="1"/>
  <c r="K16" i="1"/>
  <c r="K40" i="1" s="1"/>
  <c r="L15" i="1"/>
  <c r="H15" i="1"/>
  <c r="M14" i="1"/>
  <c r="M62" i="1" s="1"/>
  <c r="I14" i="1"/>
  <c r="I62" i="1" s="1"/>
  <c r="N13" i="1"/>
  <c r="J13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8" i="1"/>
  <c r="P7" i="1"/>
  <c r="AG17" i="1"/>
  <c r="AG18" i="1"/>
  <c r="AG19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3" i="1"/>
  <c r="H58" i="1"/>
  <c r="K58" i="1"/>
  <c r="M58" i="1"/>
  <c r="L32" i="1"/>
  <c r="G57" i="1"/>
  <c r="J57" i="1"/>
  <c r="K60" i="1"/>
  <c r="L63" i="1"/>
  <c r="M65" i="1"/>
  <c r="L66" i="1"/>
  <c r="G67" i="1"/>
  <c r="L70" i="1"/>
  <c r="K72" i="1"/>
  <c r="V83" i="1" l="1"/>
  <c r="U155" i="1"/>
  <c r="E135" i="2" s="1"/>
  <c r="P155" i="1"/>
  <c r="W155" i="1"/>
  <c r="E181" i="2" s="1"/>
  <c r="P83" i="1"/>
  <c r="E13" i="2" s="1"/>
  <c r="Q83" i="1"/>
  <c r="E36" i="2" s="1"/>
  <c r="W83" i="1"/>
  <c r="E174" i="2" s="1"/>
  <c r="T155" i="1"/>
  <c r="E112" i="2" s="1"/>
  <c r="U83" i="1"/>
  <c r="E128" i="2" s="1"/>
  <c r="X83" i="1"/>
  <c r="Y83" i="1"/>
  <c r="E220" i="2" s="1"/>
  <c r="X155" i="1"/>
  <c r="E204" i="2" s="1"/>
  <c r="S83" i="1"/>
  <c r="E82" i="2" s="1"/>
  <c r="F179" i="1"/>
  <c r="M213" i="1"/>
  <c r="L217" i="1"/>
  <c r="J188" i="1"/>
  <c r="M219" i="1"/>
  <c r="M179" i="1"/>
  <c r="K189" i="1"/>
  <c r="H209" i="1"/>
  <c r="K185" i="1"/>
  <c r="M105" i="1"/>
  <c r="L106" i="1"/>
  <c r="F130" i="1"/>
  <c r="J116" i="1"/>
  <c r="I111" i="1"/>
  <c r="J132" i="1"/>
  <c r="I110" i="1"/>
  <c r="N115" i="1"/>
  <c r="K108" i="1"/>
  <c r="I119" i="1"/>
  <c r="L112" i="1"/>
  <c r="M112" i="1"/>
  <c r="K114" i="1"/>
  <c r="G134" i="1"/>
  <c r="N109" i="1"/>
  <c r="F145" i="1"/>
  <c r="Q84" i="1" s="1"/>
  <c r="E37" i="2" s="1"/>
  <c r="M108" i="1"/>
  <c r="N119" i="1"/>
  <c r="T156" i="1"/>
  <c r="E113" i="2" s="1"/>
  <c r="X156" i="1"/>
  <c r="E205" i="2" s="1"/>
  <c r="Q154" i="1"/>
  <c r="U154" i="1"/>
  <c r="E134" i="2" s="1"/>
  <c r="Y154" i="1"/>
  <c r="E226" i="2" s="1"/>
  <c r="S84" i="1"/>
  <c r="E83" i="2" s="1"/>
  <c r="W84" i="1"/>
  <c r="E175" i="2" s="1"/>
  <c r="S82" i="1"/>
  <c r="E81" i="2" s="1"/>
  <c r="W82" i="1"/>
  <c r="E173" i="2" s="1"/>
  <c r="P156" i="1"/>
  <c r="E21" i="2" s="1"/>
  <c r="U82" i="1"/>
  <c r="E127" i="2" s="1"/>
  <c r="W156" i="1"/>
  <c r="E182" i="2" s="1"/>
  <c r="T154" i="1"/>
  <c r="E111" i="2" s="1"/>
  <c r="R84" i="1"/>
  <c r="E60" i="2" s="1"/>
  <c r="P84" i="1"/>
  <c r="E197" i="2"/>
  <c r="V82" i="1"/>
  <c r="E150" i="2" s="1"/>
  <c r="Q156" i="1"/>
  <c r="E44" i="2" s="1"/>
  <c r="U156" i="1"/>
  <c r="E136" i="2" s="1"/>
  <c r="Y156" i="1"/>
  <c r="E228" i="2" s="1"/>
  <c r="R154" i="1"/>
  <c r="E65" i="2" s="1"/>
  <c r="V154" i="1"/>
  <c r="E157" i="2" s="1"/>
  <c r="P154" i="1"/>
  <c r="T84" i="1"/>
  <c r="E106" i="2" s="1"/>
  <c r="X84" i="1"/>
  <c r="E198" i="2" s="1"/>
  <c r="E151" i="2"/>
  <c r="T82" i="1"/>
  <c r="E104" i="2" s="1"/>
  <c r="X82" i="1"/>
  <c r="E196" i="2" s="1"/>
  <c r="S154" i="1"/>
  <c r="E88" i="2" s="1"/>
  <c r="W154" i="1"/>
  <c r="E180" i="2" s="1"/>
  <c r="U84" i="1"/>
  <c r="E129" i="2" s="1"/>
  <c r="Q82" i="1"/>
  <c r="Y82" i="1"/>
  <c r="E219" i="2" s="1"/>
  <c r="S156" i="1"/>
  <c r="E90" i="2" s="1"/>
  <c r="X154" i="1"/>
  <c r="E203" i="2" s="1"/>
  <c r="V84" i="1"/>
  <c r="E152" i="2" s="1"/>
  <c r="R82" i="1"/>
  <c r="E58" i="2" s="1"/>
  <c r="P82" i="1"/>
  <c r="E12" i="2" s="1"/>
  <c r="F112" i="1"/>
  <c r="N105" i="1"/>
  <c r="F212" i="1"/>
  <c r="H189" i="1"/>
  <c r="N36" i="1"/>
  <c r="F65" i="1"/>
  <c r="F37" i="1"/>
  <c r="K113" i="1"/>
  <c r="L117" i="1"/>
  <c r="K116" i="1"/>
  <c r="J135" i="1"/>
  <c r="G132" i="1"/>
  <c r="I121" i="1"/>
  <c r="F118" i="1"/>
  <c r="J114" i="1"/>
  <c r="F110" i="1"/>
  <c r="N106" i="1"/>
  <c r="G121" i="1"/>
  <c r="M106" i="1"/>
  <c r="F120" i="1"/>
  <c r="I115" i="1"/>
  <c r="H114" i="1"/>
  <c r="E107" i="1"/>
  <c r="N118" i="1"/>
  <c r="H140" i="1"/>
  <c r="H132" i="1"/>
  <c r="E116" i="1"/>
  <c r="N145" i="1"/>
  <c r="Y84" i="1" s="1"/>
  <c r="E221" i="2" s="1"/>
  <c r="L119" i="1"/>
  <c r="J117" i="1"/>
  <c r="L139" i="1"/>
  <c r="J109" i="1"/>
  <c r="E113" i="1"/>
  <c r="N189" i="1"/>
  <c r="I181" i="1"/>
  <c r="H204" i="1"/>
  <c r="L209" i="1"/>
  <c r="F204" i="1"/>
  <c r="N195" i="1"/>
  <c r="F195" i="1"/>
  <c r="N191" i="1"/>
  <c r="G188" i="1"/>
  <c r="K184" i="1"/>
  <c r="K180" i="1"/>
  <c r="N179" i="1"/>
  <c r="M187" i="1"/>
  <c r="H182" i="1"/>
  <c r="I179" i="1"/>
  <c r="K193" i="1"/>
  <c r="L188" i="1"/>
  <c r="I185" i="1"/>
  <c r="H184" i="1"/>
  <c r="E138" i="1"/>
  <c r="K117" i="1"/>
  <c r="N204" i="1"/>
  <c r="E120" i="1"/>
  <c r="I114" i="1"/>
  <c r="I106" i="1"/>
  <c r="N208" i="1"/>
  <c r="H193" i="1"/>
  <c r="E188" i="1"/>
  <c r="E212" i="1"/>
  <c r="M134" i="1"/>
  <c r="M110" i="1"/>
  <c r="E106" i="1"/>
  <c r="E130" i="1"/>
  <c r="K219" i="1"/>
  <c r="V156" i="1" s="1"/>
  <c r="E159" i="2" s="1"/>
  <c r="K195" i="1"/>
  <c r="H112" i="1"/>
  <c r="K109" i="1"/>
  <c r="N113" i="1"/>
  <c r="F113" i="1"/>
  <c r="N181" i="1"/>
  <c r="F208" i="1"/>
  <c r="L194" i="1"/>
  <c r="E184" i="1"/>
  <c r="E208" i="1"/>
  <c r="M180" i="1"/>
  <c r="M204" i="1"/>
  <c r="K207" i="1"/>
  <c r="K183" i="1"/>
  <c r="E206" i="1"/>
  <c r="E182" i="1"/>
  <c r="F214" i="1"/>
  <c r="F190" i="1"/>
  <c r="J182" i="1"/>
  <c r="J206" i="1"/>
  <c r="N214" i="1"/>
  <c r="N190" i="1"/>
  <c r="H187" i="1"/>
  <c r="H211" i="1"/>
  <c r="G109" i="1"/>
  <c r="G133" i="1"/>
  <c r="F58" i="1"/>
  <c r="F56" i="1"/>
  <c r="J115" i="1"/>
  <c r="N111" i="1"/>
  <c r="H109" i="1"/>
  <c r="J107" i="1"/>
  <c r="L105" i="1"/>
  <c r="K119" i="1"/>
  <c r="J120" i="1"/>
  <c r="E119" i="1"/>
  <c r="H118" i="1"/>
  <c r="M115" i="1"/>
  <c r="E115" i="1"/>
  <c r="J112" i="1"/>
  <c r="M111" i="1"/>
  <c r="M107" i="1"/>
  <c r="H106" i="1"/>
  <c r="M120" i="1"/>
  <c r="L204" i="1"/>
  <c r="N216" i="1"/>
  <c r="J184" i="1"/>
  <c r="G192" i="1"/>
  <c r="J191" i="1"/>
  <c r="K188" i="1"/>
  <c r="N187" i="1"/>
  <c r="F187" i="1"/>
  <c r="G205" i="1"/>
  <c r="G183" i="1"/>
  <c r="I193" i="1"/>
  <c r="H188" i="1"/>
  <c r="L184" i="1"/>
  <c r="M192" i="1"/>
  <c r="M216" i="1"/>
  <c r="E180" i="1"/>
  <c r="E204" i="1"/>
  <c r="G191" i="1"/>
  <c r="G215" i="1"/>
  <c r="K211" i="1"/>
  <c r="K187" i="1"/>
  <c r="E210" i="1"/>
  <c r="E186" i="1"/>
  <c r="M142" i="1"/>
  <c r="M118" i="1"/>
  <c r="F218" i="1"/>
  <c r="F194" i="1"/>
  <c r="J186" i="1"/>
  <c r="J210" i="1"/>
  <c r="N218" i="1"/>
  <c r="N194" i="1"/>
  <c r="H183" i="1"/>
  <c r="H207" i="1"/>
  <c r="I212" i="1"/>
  <c r="I188" i="1"/>
  <c r="I204" i="1"/>
  <c r="I180" i="1"/>
  <c r="I194" i="1"/>
  <c r="I218" i="1"/>
  <c r="M206" i="1"/>
  <c r="M182" i="1"/>
  <c r="M184" i="1"/>
  <c r="M208" i="1"/>
  <c r="K203" i="1"/>
  <c r="K179" i="1"/>
  <c r="E218" i="1"/>
  <c r="E194" i="1"/>
  <c r="F210" i="1"/>
  <c r="F186" i="1"/>
  <c r="J194" i="1"/>
  <c r="J218" i="1"/>
  <c r="N210" i="1"/>
  <c r="N186" i="1"/>
  <c r="H191" i="1"/>
  <c r="H215" i="1"/>
  <c r="I216" i="1"/>
  <c r="I192" i="1"/>
  <c r="I208" i="1"/>
  <c r="I184" i="1"/>
  <c r="I186" i="1"/>
  <c r="I210" i="1"/>
  <c r="M214" i="1"/>
  <c r="M190" i="1"/>
  <c r="K139" i="1"/>
  <c r="N212" i="1"/>
  <c r="G187" i="1"/>
  <c r="G211" i="1"/>
  <c r="I190" i="1"/>
  <c r="I214" i="1"/>
  <c r="I144" i="1"/>
  <c r="I120" i="1"/>
  <c r="M218" i="1"/>
  <c r="M194" i="1"/>
  <c r="I118" i="1"/>
  <c r="E112" i="1"/>
  <c r="G119" i="1"/>
  <c r="F216" i="1"/>
  <c r="H181" i="1"/>
  <c r="G217" i="1"/>
  <c r="E192" i="1"/>
  <c r="E216" i="1"/>
  <c r="M188" i="1"/>
  <c r="M212" i="1"/>
  <c r="G179" i="1"/>
  <c r="G203" i="1"/>
  <c r="G195" i="1"/>
  <c r="R155" i="1" s="1"/>
  <c r="E66" i="2" s="1"/>
  <c r="G219" i="1"/>
  <c r="R156" i="1" s="1"/>
  <c r="E67" i="2" s="1"/>
  <c r="K215" i="1"/>
  <c r="K191" i="1"/>
  <c r="E214" i="1"/>
  <c r="E190" i="1"/>
  <c r="F206" i="1"/>
  <c r="F182" i="1"/>
  <c r="J190" i="1"/>
  <c r="J214" i="1"/>
  <c r="N206" i="1"/>
  <c r="N182" i="1"/>
  <c r="H195" i="1"/>
  <c r="H219" i="1"/>
  <c r="H179" i="1"/>
  <c r="H203" i="1"/>
  <c r="I182" i="1"/>
  <c r="I206" i="1"/>
  <c r="I136" i="1"/>
  <c r="I112" i="1"/>
  <c r="M210" i="1"/>
  <c r="M186" i="1"/>
  <c r="N59" i="1"/>
  <c r="F69" i="1"/>
  <c r="F66" i="1"/>
  <c r="F70" i="1"/>
  <c r="F36" i="1"/>
  <c r="N44" i="1"/>
  <c r="Y8" i="1"/>
  <c r="E212" i="2" s="1"/>
  <c r="Q8" i="1"/>
  <c r="F64" i="1"/>
  <c r="F40" i="1"/>
  <c r="E64" i="1"/>
  <c r="E40" i="1"/>
  <c r="E72" i="1"/>
  <c r="P10" i="1" s="1"/>
  <c r="E48" i="1"/>
  <c r="P9" i="1" s="1"/>
  <c r="E58" i="1"/>
  <c r="E34" i="1"/>
  <c r="F39" i="1"/>
  <c r="E61" i="1"/>
  <c r="E37" i="1"/>
  <c r="E45" i="1"/>
  <c r="E69" i="1"/>
  <c r="F63" i="1"/>
  <c r="E47" i="1"/>
  <c r="E71" i="1"/>
  <c r="F35" i="1"/>
  <c r="E70" i="1"/>
  <c r="E46" i="1"/>
  <c r="N56" i="1"/>
  <c r="E43" i="1"/>
  <c r="E67" i="1"/>
  <c r="F72" i="1"/>
  <c r="Q10" i="1" s="1"/>
  <c r="E30" i="2" s="1"/>
  <c r="F48" i="1"/>
  <c r="E60" i="1"/>
  <c r="E36" i="1"/>
  <c r="E68" i="1"/>
  <c r="E44" i="1"/>
  <c r="E66" i="1"/>
  <c r="E42" i="1"/>
  <c r="F47" i="1"/>
  <c r="E57" i="1"/>
  <c r="E33" i="1"/>
  <c r="E65" i="1"/>
  <c r="E41" i="1"/>
  <c r="G63" i="1"/>
  <c r="F59" i="1"/>
  <c r="E63" i="1"/>
  <c r="E39" i="1"/>
  <c r="F68" i="1"/>
  <c r="F44" i="1"/>
  <c r="E62" i="1"/>
  <c r="E38" i="1"/>
  <c r="F43" i="1"/>
  <c r="N33" i="1"/>
  <c r="N57" i="1"/>
  <c r="N48" i="1"/>
  <c r="N63" i="1"/>
  <c r="N65" i="1"/>
  <c r="N40" i="1"/>
  <c r="N34" i="1"/>
  <c r="N70" i="1"/>
  <c r="N45" i="1"/>
  <c r="N69" i="1"/>
  <c r="N46" i="1"/>
  <c r="N67" i="1"/>
  <c r="N62" i="1"/>
  <c r="N71" i="1"/>
  <c r="N58" i="1"/>
  <c r="N38" i="1"/>
  <c r="N42" i="1"/>
  <c r="N37" i="1"/>
  <c r="N41" i="1"/>
  <c r="N61" i="1"/>
  <c r="R8" i="1"/>
  <c r="E51" i="2" s="1"/>
  <c r="V8" i="1"/>
  <c r="E143" i="2" s="1"/>
  <c r="P8" i="1"/>
  <c r="E5" i="2" s="1"/>
  <c r="W8" i="1"/>
  <c r="E166" i="2" s="1"/>
  <c r="S8" i="1"/>
  <c r="E74" i="2" s="1"/>
  <c r="T8" i="1"/>
  <c r="E97" i="2" s="1"/>
  <c r="X8" i="1"/>
  <c r="E189" i="2" s="1"/>
  <c r="U8" i="1"/>
  <c r="E120" i="2" s="1"/>
  <c r="H48" i="1"/>
  <c r="S9" i="1" s="1"/>
  <c r="I45" i="1"/>
  <c r="Y10" i="1"/>
  <c r="E214" i="2" s="1"/>
  <c r="I32" i="1"/>
  <c r="L43" i="1"/>
  <c r="M40" i="1"/>
  <c r="L39" i="1"/>
  <c r="M36" i="1"/>
  <c r="L35" i="1"/>
  <c r="E32" i="1"/>
  <c r="M48" i="1"/>
  <c r="X9" i="1" s="1"/>
  <c r="L47" i="1"/>
  <c r="M44" i="1"/>
  <c r="L40" i="1"/>
  <c r="H39" i="1"/>
  <c r="L36" i="1"/>
  <c r="H35" i="1"/>
  <c r="M32" i="1"/>
  <c r="L48" i="1"/>
  <c r="W9" i="1" s="1"/>
  <c r="H47" i="1"/>
  <c r="L44" i="1"/>
  <c r="M41" i="1"/>
  <c r="I40" i="1"/>
  <c r="M37" i="1"/>
  <c r="I36" i="1"/>
  <c r="M34" i="1"/>
  <c r="J32" i="1"/>
  <c r="I48" i="1"/>
  <c r="T9" i="1" s="1"/>
  <c r="M45" i="1"/>
  <c r="H44" i="1"/>
  <c r="I41" i="1"/>
  <c r="H40" i="1"/>
  <c r="I37" i="1"/>
  <c r="H36" i="1"/>
  <c r="L34" i="1"/>
  <c r="I34" i="1"/>
  <c r="H34" i="1"/>
  <c r="M47" i="1"/>
  <c r="I47" i="1"/>
  <c r="M46" i="1"/>
  <c r="I46" i="1"/>
  <c r="I44" i="1"/>
  <c r="M43" i="1"/>
  <c r="I43" i="1"/>
  <c r="M42" i="1"/>
  <c r="I42" i="1"/>
  <c r="M39" i="1"/>
  <c r="I39" i="1"/>
  <c r="M38" i="1"/>
  <c r="I38" i="1"/>
  <c r="M35" i="1"/>
  <c r="I35" i="1"/>
  <c r="M33" i="1"/>
  <c r="I33" i="1"/>
  <c r="H33" i="1"/>
  <c r="L46" i="1"/>
  <c r="L45" i="1"/>
  <c r="L42" i="1"/>
  <c r="H42" i="1"/>
  <c r="H38" i="1"/>
  <c r="H37" i="1"/>
  <c r="L33" i="1"/>
  <c r="I68" i="1"/>
  <c r="K48" i="1"/>
  <c r="V9" i="1" s="1"/>
  <c r="G48" i="1"/>
  <c r="R9" i="1" s="1"/>
  <c r="K47" i="1"/>
  <c r="G47" i="1"/>
  <c r="K46" i="1"/>
  <c r="G46" i="1"/>
  <c r="K45" i="1"/>
  <c r="G45" i="1"/>
  <c r="K44" i="1"/>
  <c r="G44" i="1"/>
  <c r="K43" i="1"/>
  <c r="G43" i="1"/>
  <c r="K42" i="1"/>
  <c r="G42" i="1"/>
  <c r="K41" i="1"/>
  <c r="G41" i="1"/>
  <c r="G40" i="1"/>
  <c r="K39" i="1"/>
  <c r="G39" i="1"/>
  <c r="K38" i="1"/>
  <c r="G38" i="1"/>
  <c r="K37" i="1"/>
  <c r="G37" i="1"/>
  <c r="K36" i="1"/>
  <c r="G36" i="1"/>
  <c r="K35" i="1"/>
  <c r="G35" i="1"/>
  <c r="K34" i="1"/>
  <c r="G34" i="1"/>
  <c r="G33" i="1"/>
  <c r="H46" i="1"/>
  <c r="H45" i="1"/>
  <c r="L41" i="1"/>
  <c r="L38" i="1"/>
  <c r="L37" i="1"/>
  <c r="K32" i="1"/>
  <c r="G32" i="1"/>
  <c r="J48" i="1"/>
  <c r="U9" i="1" s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U10" i="1"/>
  <c r="E122" i="2" s="1"/>
  <c r="R10" i="1"/>
  <c r="E53" i="2" s="1"/>
  <c r="J58" i="1"/>
  <c r="H56" i="1"/>
  <c r="S10" i="1" s="1"/>
  <c r="E76" i="2" s="1"/>
  <c r="L56" i="1"/>
  <c r="W10" i="1" s="1"/>
  <c r="E168" i="2" s="1"/>
  <c r="G70" i="1"/>
  <c r="J69" i="1"/>
  <c r="H67" i="1"/>
  <c r="G66" i="1"/>
  <c r="J65" i="1"/>
  <c r="H63" i="1"/>
  <c r="K62" i="1"/>
  <c r="G62" i="1"/>
  <c r="J61" i="1"/>
  <c r="L59" i="1"/>
  <c r="H59" i="1"/>
  <c r="K70" i="1"/>
  <c r="K57" i="1"/>
  <c r="H71" i="1"/>
  <c r="K66" i="1"/>
  <c r="J67" i="1"/>
  <c r="J63" i="1"/>
  <c r="M57" i="1"/>
  <c r="X10" i="1" s="1"/>
  <c r="E191" i="2" s="1"/>
  <c r="I57" i="1"/>
  <c r="T10" i="1" s="1"/>
  <c r="E99" i="2" s="1"/>
  <c r="H65" i="1"/>
  <c r="K64" i="1"/>
  <c r="J68" i="1"/>
  <c r="J64" i="1"/>
  <c r="J60" i="1"/>
  <c r="M59" i="1"/>
  <c r="I59" i="1"/>
  <c r="K56" i="1"/>
  <c r="J71" i="1"/>
  <c r="Q9" i="1" l="1"/>
  <c r="E29" i="2" s="1"/>
  <c r="R83" i="1"/>
  <c r="E59" i="2" s="1"/>
  <c r="Y9" i="1"/>
  <c r="E213" i="2" s="1"/>
  <c r="S155" i="1"/>
  <c r="E89" i="2" s="1"/>
  <c r="T83" i="1"/>
  <c r="E105" i="2" s="1"/>
  <c r="V155" i="1"/>
  <c r="E158" i="2" s="1"/>
  <c r="Q155" i="1"/>
  <c r="E43" i="2" s="1"/>
  <c r="Y155" i="1"/>
  <c r="E227" i="2" s="1"/>
  <c r="E42" i="2"/>
  <c r="E35" i="2"/>
  <c r="E28" i="2"/>
  <c r="E20" i="2"/>
  <c r="E19" i="2"/>
  <c r="E14" i="2"/>
  <c r="V10" i="1"/>
  <c r="E145" i="2" s="1"/>
  <c r="E7" i="2"/>
  <c r="E167" i="2" l="1"/>
  <c r="E75" i="2"/>
  <c r="E121" i="2"/>
  <c r="E98" i="2"/>
  <c r="E144" i="2"/>
  <c r="E6" i="2"/>
  <c r="E190" i="2"/>
  <c r="E52" i="2" l="1"/>
</calcChain>
</file>

<file path=xl/sharedStrings.xml><?xml version="1.0" encoding="utf-8"?>
<sst xmlns="http://schemas.openxmlformats.org/spreadsheetml/2006/main" count="197" uniqueCount="29">
  <si>
    <t>x</t>
  </si>
  <si>
    <t>y</t>
  </si>
  <si>
    <t>px</t>
  </si>
  <si>
    <t>itemScale =</t>
  </si>
  <si>
    <t>Calculate maxItems</t>
  </si>
  <si>
    <t>&lt;aspectRatio name="1:1"&gt;</t>
  </si>
  <si>
    <t>&lt;/aspectRatio&gt;</t>
  </si>
  <si>
    <t>&lt;aspectRatio name="5:4"&gt;</t>
  </si>
  <si>
    <t>&lt;aspectRatio name="4:3"&gt;</t>
  </si>
  <si>
    <t>&lt;aspectRatio name="3:2"&gt;</t>
  </si>
  <si>
    <t>&lt;aspectRatio name="16:10"&gt;</t>
  </si>
  <si>
    <t>&lt;aspectRatio name="16:9"&gt;</t>
  </si>
  <si>
    <t>&lt;aspectRatio name="19.5:9"&gt;</t>
  </si>
  <si>
    <t>&lt;aspectRatio name="21:9"&gt;</t>
  </si>
  <si>
    <t>&lt;theme&gt;</t>
  </si>
  <si>
    <t>&lt;/theme&gt;</t>
  </si>
  <si>
    <t xml:space="preserve"> </t>
  </si>
  <si>
    <t>752-1440</t>
  </si>
  <si>
    <t>Calculate X for itemSize Y =</t>
  </si>
  <si>
    <t>Calculate margins =</t>
  </si>
  <si>
    <t>&lt;aspectRatio name="32:9"&gt;</t>
  </si>
  <si>
    <t>&lt;aspectRatio name="8:7"&gt;</t>
  </si>
  <si>
    <t>&lt;fontSize name="small"&gt;</t>
  </si>
  <si>
    <t>&lt;variables&gt;</t>
  </si>
  <si>
    <t>&lt;/variables&gt;</t>
  </si>
  <si>
    <t>&lt;/fontSize&gt;</t>
  </si>
  <si>
    <t>&lt;fontSize name="medium"&gt;</t>
  </si>
  <si>
    <t>&lt;fontSize name="large"&gt;</t>
  </si>
  <si>
    <t>PlayStationX - coversize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</si>
</sst>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1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wrapText="1"/>
    </xf>
    <xf numFmtId="0" fontId="0" fillId="2" borderId="1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3</xdr:row>
          <xdr:rowOff>161925</xdr:rowOff>
        </xdr:from>
        <xdr:to>
          <xdr:col>14</xdr:col>
          <xdr:colOff>200025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FF1E-70F4-4FDA-84AA-FB1BC6825221}">
  <sheetPr codeName="Sheet1"/>
  <dimension ref="A1:AH219"/>
  <sheetViews>
    <sheetView topLeftCell="A121" zoomScaleNormal="100" workbookViewId="0">
      <selection activeCell="H150" sqref="H150"/>
    </sheetView>
  </sheetViews>
  <sheetFormatPr defaultRowHeight="15" x14ac:dyDescent="0.25"/>
  <cols>
    <col min="9" max="9" width="11.5703125" bestFit="1" customWidth="1"/>
    <col min="16" max="18" width="9.140625" customWidth="1"/>
    <col min="24" max="24" width="9.140625" customWidth="1"/>
  </cols>
  <sheetData>
    <row r="1" spans="1:34" x14ac:dyDescent="0.25">
      <c r="B1" s="2"/>
      <c r="C1" s="2"/>
      <c r="D1" s="2"/>
      <c r="E1" s="3" t="s">
        <v>28</v>
      </c>
      <c r="F1" s="3"/>
      <c r="G1" s="2"/>
      <c r="H1" s="2"/>
      <c r="I1" s="2"/>
      <c r="J1" s="2"/>
      <c r="K1" s="2"/>
      <c r="L1" s="2"/>
      <c r="M1" s="2"/>
    </row>
    <row r="2" spans="1:34" x14ac:dyDescent="0.25">
      <c r="B2" s="2"/>
      <c r="C2" s="2"/>
      <c r="D2" s="2"/>
      <c r="E2" s="3" t="s">
        <v>18</v>
      </c>
      <c r="F2" s="3"/>
      <c r="G2" s="2"/>
      <c r="H2" s="6">
        <v>0.18</v>
      </c>
      <c r="J2" s="2"/>
      <c r="K2" s="2"/>
      <c r="L2" s="2"/>
      <c r="M2" s="2"/>
    </row>
    <row r="3" spans="1:34" x14ac:dyDescent="0.25">
      <c r="B3" s="2"/>
      <c r="C3" s="2"/>
      <c r="D3" s="2"/>
      <c r="E3" s="3">
        <f>$H$2+(E4/E5*0.03)</f>
        <v>0.21</v>
      </c>
      <c r="F3" s="3">
        <f t="shared" ref="F3:N3" si="0">$H$2+(F4/F5*0.03)</f>
        <v>0.21428571428571427</v>
      </c>
      <c r="G3" s="3">
        <f t="shared" si="0"/>
        <v>0.2175</v>
      </c>
      <c r="H3" s="3">
        <f t="shared" si="0"/>
        <v>0.21999999999999997</v>
      </c>
      <c r="I3" s="3">
        <f t="shared" si="0"/>
        <v>0.22499999999999998</v>
      </c>
      <c r="J3" s="3">
        <f t="shared" si="0"/>
        <v>0.22799999999999998</v>
      </c>
      <c r="K3" s="3">
        <f t="shared" si="0"/>
        <v>0.23333333333333334</v>
      </c>
      <c r="L3" s="3">
        <f t="shared" si="0"/>
        <v>0.245</v>
      </c>
      <c r="M3" s="3">
        <f t="shared" si="0"/>
        <v>0.25</v>
      </c>
      <c r="N3" s="3">
        <f t="shared" si="0"/>
        <v>0.28666666666666663</v>
      </c>
      <c r="AG3" s="1" t="str">
        <f t="shared" ref="AG3:AG19" si="1">B8&amp;"-"&amp;C8</f>
        <v>1-1</v>
      </c>
    </row>
    <row r="4" spans="1:34" x14ac:dyDescent="0.25">
      <c r="B4" s="2"/>
      <c r="C4" s="2"/>
      <c r="D4" s="2"/>
      <c r="E4" s="4">
        <v>1</v>
      </c>
      <c r="F4" s="4">
        <v>8</v>
      </c>
      <c r="G4" s="4">
        <v>5</v>
      </c>
      <c r="H4" s="4">
        <v>4</v>
      </c>
      <c r="I4" s="4">
        <v>3</v>
      </c>
      <c r="J4" s="4">
        <v>16</v>
      </c>
      <c r="K4" s="4">
        <v>16</v>
      </c>
      <c r="L4" s="4">
        <v>19.5</v>
      </c>
      <c r="M4" s="4">
        <v>21</v>
      </c>
      <c r="N4" s="4">
        <v>32</v>
      </c>
      <c r="P4" s="4">
        <v>1</v>
      </c>
      <c r="Q4" s="4">
        <v>8</v>
      </c>
      <c r="R4" s="4">
        <v>5</v>
      </c>
      <c r="S4" s="4">
        <v>4</v>
      </c>
      <c r="T4" s="4">
        <v>3</v>
      </c>
      <c r="U4" s="4">
        <v>16</v>
      </c>
      <c r="V4" s="4">
        <v>16</v>
      </c>
      <c r="W4" s="4">
        <v>19.5</v>
      </c>
      <c r="X4" s="4">
        <v>21</v>
      </c>
      <c r="Y4" s="4">
        <v>32</v>
      </c>
      <c r="AG4" s="1" t="str">
        <f t="shared" si="1"/>
        <v>1-2</v>
      </c>
    </row>
    <row r="5" spans="1:34" x14ac:dyDescent="0.25">
      <c r="B5" s="2"/>
      <c r="C5" s="2"/>
      <c r="D5" s="2"/>
      <c r="E5" s="4">
        <v>1</v>
      </c>
      <c r="F5" s="4">
        <v>7</v>
      </c>
      <c r="G5" s="4">
        <v>4</v>
      </c>
      <c r="H5" s="4">
        <v>3</v>
      </c>
      <c r="I5" s="4">
        <v>2</v>
      </c>
      <c r="J5" s="4">
        <v>10</v>
      </c>
      <c r="K5" s="4">
        <v>9</v>
      </c>
      <c r="L5" s="4">
        <v>9</v>
      </c>
      <c r="M5" s="4">
        <v>9</v>
      </c>
      <c r="N5" s="4">
        <v>9</v>
      </c>
      <c r="P5" s="4">
        <v>1</v>
      </c>
      <c r="Q5" s="4">
        <v>7</v>
      </c>
      <c r="R5" s="4">
        <v>4</v>
      </c>
      <c r="S5" s="4">
        <v>3</v>
      </c>
      <c r="T5" s="4">
        <v>2</v>
      </c>
      <c r="U5" s="4">
        <v>10</v>
      </c>
      <c r="V5" s="4">
        <v>9</v>
      </c>
      <c r="W5" s="4">
        <v>9</v>
      </c>
      <c r="X5" s="4">
        <v>9</v>
      </c>
      <c r="Y5" s="4">
        <v>9</v>
      </c>
      <c r="AG5" s="1" t="str">
        <f t="shared" si="1"/>
        <v>2-3</v>
      </c>
    </row>
    <row r="6" spans="1:34" x14ac:dyDescent="0.25">
      <c r="D6" s="4" t="s">
        <v>0</v>
      </c>
      <c r="E6" s="4">
        <v>720</v>
      </c>
      <c r="F6">
        <f>F7*F4/F5</f>
        <v>822.85714285714289</v>
      </c>
      <c r="G6" s="4">
        <v>900</v>
      </c>
      <c r="H6" s="4">
        <v>960</v>
      </c>
      <c r="I6" s="4">
        <v>1080</v>
      </c>
      <c r="J6" s="4">
        <v>1152</v>
      </c>
      <c r="K6" s="4">
        <v>1280</v>
      </c>
      <c r="L6" s="4">
        <v>1560</v>
      </c>
      <c r="M6" s="4">
        <v>1680</v>
      </c>
      <c r="N6">
        <f>N7*N4/N5</f>
        <v>2560</v>
      </c>
      <c r="AG6" s="1" t="str">
        <f t="shared" si="1"/>
        <v>3-4</v>
      </c>
    </row>
    <row r="7" spans="1:34" x14ac:dyDescent="0.25">
      <c r="B7" s="2" t="s">
        <v>0</v>
      </c>
      <c r="C7" s="2" t="s">
        <v>1</v>
      </c>
      <c r="D7" s="4" t="s">
        <v>1</v>
      </c>
      <c r="E7" s="4">
        <v>720</v>
      </c>
      <c r="F7" s="4">
        <v>720</v>
      </c>
      <c r="G7" s="4">
        <v>720</v>
      </c>
      <c r="H7" s="4">
        <v>720</v>
      </c>
      <c r="I7" s="4">
        <v>720</v>
      </c>
      <c r="J7" s="4">
        <v>720</v>
      </c>
      <c r="K7" s="4">
        <v>720</v>
      </c>
      <c r="L7" s="4">
        <v>720</v>
      </c>
      <c r="M7" s="4">
        <v>720</v>
      </c>
      <c r="N7" s="4">
        <v>720</v>
      </c>
      <c r="P7" t="str">
        <f>xml!M2</f>
        <v>752-1440</v>
      </c>
      <c r="R7" t="s">
        <v>16</v>
      </c>
      <c r="AG7" s="1" t="str">
        <f t="shared" si="1"/>
        <v>3-5</v>
      </c>
    </row>
    <row r="8" spans="1:34" x14ac:dyDescent="0.25">
      <c r="A8">
        <f>B8/C8</f>
        <v>1</v>
      </c>
      <c r="B8" s="4">
        <v>1</v>
      </c>
      <c r="C8" s="4">
        <v>1</v>
      </c>
      <c r="E8">
        <f>E$3*E$7*$B8/$C8/E$6</f>
        <v>0.21</v>
      </c>
      <c r="F8">
        <f t="shared" ref="F8:G23" si="2">F$3*F$7*$B8/$C8/F$6</f>
        <v>0.18749999999999997</v>
      </c>
      <c r="G8">
        <f t="shared" si="2"/>
        <v>0.17399999999999999</v>
      </c>
      <c r="H8">
        <f t="shared" ref="H8:N23" si="3">H$3*H$7*$B8/$C8/H$6</f>
        <v>0.16499999999999998</v>
      </c>
      <c r="I8">
        <f t="shared" si="3"/>
        <v>0.14999999999999997</v>
      </c>
      <c r="J8">
        <f t="shared" si="3"/>
        <v>0.14249999999999999</v>
      </c>
      <c r="K8">
        <f t="shared" si="3"/>
        <v>0.13125000000000001</v>
      </c>
      <c r="L8">
        <f t="shared" si="3"/>
        <v>0.11307692307692307</v>
      </c>
      <c r="M8">
        <f t="shared" si="3"/>
        <v>0.10714285714285714</v>
      </c>
      <c r="N8">
        <f t="shared" si="3"/>
        <v>8.0624999999999988E-2</v>
      </c>
      <c r="P8" t="str">
        <f t="shared" ref="P8:Y8" ca="1" si="4">"&lt;itemSize&gt;"&amp;(OFFSET(E$8,(MATCH($P$7,$AG$3:$AG$19,0)-1),0))&amp;" "&amp;E3&amp;"&lt;/itemSize&gt;"</f>
        <v>&lt;itemSize&gt;0.109666666666667 0.21&lt;/itemSize&gt;</v>
      </c>
      <c r="Q8" t="str">
        <f t="shared" ca="1" si="4"/>
        <v>&lt;itemSize&gt;0.0979166666666667 0.214285714285714&lt;/itemSize&gt;</v>
      </c>
      <c r="R8" t="str">
        <f t="shared" ca="1" si="4"/>
        <v>&lt;itemSize&gt;0.0908666666666667 0.2175&lt;/itemSize&gt;</v>
      </c>
      <c r="S8" t="str">
        <f t="shared" ca="1" si="4"/>
        <v>&lt;itemSize&gt;0.0861666666666667 0.22&lt;/itemSize&gt;</v>
      </c>
      <c r="T8" t="str">
        <f t="shared" ca="1" si="4"/>
        <v>&lt;itemSize&gt;0.0783333333333333 0.225&lt;/itemSize&gt;</v>
      </c>
      <c r="U8" t="str">
        <f t="shared" ca="1" si="4"/>
        <v>&lt;itemSize&gt;0.0744166666666667 0.228&lt;/itemSize&gt;</v>
      </c>
      <c r="V8" t="str">
        <f t="shared" ca="1" si="4"/>
        <v>&lt;itemSize&gt;0.0685416666666667 0.233333333333333&lt;/itemSize&gt;</v>
      </c>
      <c r="W8" t="str">
        <f t="shared" ca="1" si="4"/>
        <v>&lt;itemSize&gt;0.0590512820512821 0.245&lt;/itemSize&gt;</v>
      </c>
      <c r="X8" t="str">
        <f t="shared" ca="1" si="4"/>
        <v>&lt;itemSize&gt;0.055952380952381 0.25&lt;/itemSize&gt;</v>
      </c>
      <c r="Y8" t="str">
        <f t="shared" ca="1" si="4"/>
        <v>&lt;itemSize&gt;0.0421041666666667 0.286666666666667&lt;/itemSize&gt;</v>
      </c>
      <c r="Z8" s="4"/>
      <c r="AA8" s="4"/>
      <c r="AB8" s="4"/>
      <c r="AC8" s="4"/>
      <c r="AD8" s="4"/>
      <c r="AE8" s="4"/>
      <c r="AG8" s="1" t="str">
        <f t="shared" si="1"/>
        <v>4-3</v>
      </c>
      <c r="AH8" s="4"/>
    </row>
    <row r="9" spans="1:34" x14ac:dyDescent="0.25">
      <c r="A9">
        <f t="shared" ref="A9:A24" si="5">B9/C9</f>
        <v>0.5</v>
      </c>
      <c r="B9" s="4">
        <v>1</v>
      </c>
      <c r="C9" s="4">
        <v>2</v>
      </c>
      <c r="E9">
        <f t="shared" ref="E9:G24" si="6">E$3*E$7*$B9/$C9/E$6</f>
        <v>0.105</v>
      </c>
      <c r="F9">
        <f t="shared" si="2"/>
        <v>9.3749999999999986E-2</v>
      </c>
      <c r="G9">
        <f t="shared" si="2"/>
        <v>8.6999999999999994E-2</v>
      </c>
      <c r="H9">
        <f t="shared" si="3"/>
        <v>8.249999999999999E-2</v>
      </c>
      <c r="I9">
        <f t="shared" si="3"/>
        <v>7.4999999999999983E-2</v>
      </c>
      <c r="J9">
        <f t="shared" si="3"/>
        <v>7.1249999999999994E-2</v>
      </c>
      <c r="K9">
        <f t="shared" si="3"/>
        <v>6.5625000000000003E-2</v>
      </c>
      <c r="L9">
        <f t="shared" si="3"/>
        <v>5.6538461538461537E-2</v>
      </c>
      <c r="M9">
        <f t="shared" si="3"/>
        <v>5.3571428571428568E-2</v>
      </c>
      <c r="N9">
        <f t="shared" si="3"/>
        <v>4.0312499999999994E-2</v>
      </c>
      <c r="P9" t="str">
        <f ca="1">"&lt;selectedItemMargins&gt;"&amp;(OFFSET(E$32,(MATCH($P$7,$AG$3:$AG$19,0)-1),0))&amp;" "&amp;(OFFSET(E$32,(MATCH($P$7,$AG$3:$AG$19,0)-1),0))&amp;"&lt;/selectedItemMargins&gt;"</f>
        <v>&lt;selectedItemMargins&gt;0.0219333333333333 0.0219333333333333&lt;/selectedItemMargins&gt;</v>
      </c>
      <c r="Q9" t="str">
        <f t="shared" ref="Q9:Y9" ca="1" si="7">"&lt;selectedItemMargins&gt;"&amp;(OFFSET(F$32,(MATCH($P$7,$AG$3:$AG$19,0)-1),0))&amp;" "&amp;(OFFSET(F$32,(MATCH($P$7,$AG$3:$AG$19,0)-1),0))&amp;"&lt;/selectedItemMargins&gt;"</f>
        <v>&lt;selectedItemMargins&gt;0.0195833333333333 0.0195833333333333&lt;/selectedItemMargins&gt;</v>
      </c>
      <c r="R9" t="str">
        <f t="shared" ca="1" si="7"/>
        <v>&lt;selectedItemMargins&gt;0.0181733333333333 0.0181733333333333&lt;/selectedItemMargins&gt;</v>
      </c>
      <c r="S9" t="str">
        <f t="shared" ca="1" si="7"/>
        <v>&lt;selectedItemMargins&gt;0.0172333333333333 0.0172333333333333&lt;/selectedItemMargins&gt;</v>
      </c>
      <c r="T9" t="str">
        <f t="shared" ca="1" si="7"/>
        <v>&lt;selectedItemMargins&gt;0.0156666666666667 0.0156666666666667&lt;/selectedItemMargins&gt;</v>
      </c>
      <c r="U9" t="str">
        <f t="shared" ca="1" si="7"/>
        <v>&lt;selectedItemMargins&gt;0.0148833333333333 0.0148833333333333&lt;/selectedItemMargins&gt;</v>
      </c>
      <c r="V9" t="str">
        <f t="shared" ca="1" si="7"/>
        <v>&lt;selectedItemMargins&gt;0.0137083333333333 0.0137083333333333&lt;/selectedItemMargins&gt;</v>
      </c>
      <c r="W9" t="str">
        <f t="shared" ca="1" si="7"/>
        <v>&lt;selectedItemMargins&gt;0.0118102564102564 0.0118102564102564&lt;/selectedItemMargins&gt;</v>
      </c>
      <c r="X9" t="str">
        <f t="shared" ca="1" si="7"/>
        <v>&lt;selectedItemMargins&gt;0.0111904761904762 0.0111904761904762&lt;/selectedItemMargins&gt;</v>
      </c>
      <c r="Y9" t="str">
        <f t="shared" ca="1" si="7"/>
        <v>&lt;selectedItemMargins&gt;0.00842083333333333 0.00842083333333333&lt;/selectedItemMargins&gt;</v>
      </c>
      <c r="Z9" s="4"/>
      <c r="AA9" s="4"/>
      <c r="AB9" s="4"/>
      <c r="AC9" s="4"/>
      <c r="AD9" s="4"/>
      <c r="AE9" s="4"/>
      <c r="AG9" s="1" t="str">
        <f t="shared" si="1"/>
        <v>5-7</v>
      </c>
      <c r="AH9" s="4"/>
    </row>
    <row r="10" spans="1:34" x14ac:dyDescent="0.25">
      <c r="A10">
        <f t="shared" si="5"/>
        <v>0.66666666666666663</v>
      </c>
      <c r="B10" s="4">
        <v>2</v>
      </c>
      <c r="C10" s="4">
        <v>3</v>
      </c>
      <c r="E10">
        <f t="shared" si="6"/>
        <v>0.13999999999999999</v>
      </c>
      <c r="F10">
        <f t="shared" si="2"/>
        <v>0.12499999999999999</v>
      </c>
      <c r="G10">
        <f t="shared" si="2"/>
        <v>0.11599999999999999</v>
      </c>
      <c r="H10">
        <f t="shared" si="3"/>
        <v>0.10999999999999997</v>
      </c>
      <c r="I10">
        <f t="shared" si="3"/>
        <v>9.9999999999999992E-2</v>
      </c>
      <c r="J10">
        <f t="shared" si="3"/>
        <v>9.5000000000000001E-2</v>
      </c>
      <c r="K10">
        <f t="shared" si="3"/>
        <v>8.7499999999999994E-2</v>
      </c>
      <c r="L10">
        <f t="shared" si="3"/>
        <v>7.5384615384615383E-2</v>
      </c>
      <c r="M10">
        <f t="shared" si="3"/>
        <v>7.1428571428571425E-2</v>
      </c>
      <c r="N10">
        <f t="shared" si="3"/>
        <v>5.3749999999999999E-2</v>
      </c>
      <c r="P10" t="str">
        <f t="shared" ref="P10:Y10" ca="1" si="8">"&lt;maxItemCount&gt;"&amp;(OFFSET(E$56,(MATCH($P$7,$AG$3:$AG$19,0)-1),0))&amp;"&lt;/maxItemCount&gt;"</f>
        <v>&lt;maxItemCount&gt;8.09352517985612&lt;/maxItemCount&gt;</v>
      </c>
      <c r="Q10" t="str">
        <f t="shared" ca="1" si="8"/>
        <v>&lt;maxItemCount&gt;9.08517350157729&lt;/maxItemCount&gt;</v>
      </c>
      <c r="R10" t="str">
        <f t="shared" ca="1" si="8"/>
        <v>&lt;maxItemCount&gt;9.80605796469819&lt;/maxItemCount&gt;</v>
      </c>
      <c r="S10" t="str">
        <f t="shared" ca="1" si="8"/>
        <v>&lt;maxItemCount&gt;10.3537532355479&lt;/maxItemCount&gt;</v>
      </c>
      <c r="T10" t="str">
        <f t="shared" ca="1" si="8"/>
        <v>&lt;maxItemCount&gt;11.4164904862579&lt;/maxItemCount&gt;</v>
      </c>
      <c r="U10" t="str">
        <f t="shared" ca="1" si="8"/>
        <v>&lt;maxItemCount&gt;12.0340966070533&lt;/maxItemCount&gt;</v>
      </c>
      <c r="V10" t="str">
        <f t="shared" ca="1" si="8"/>
        <v>&lt;maxItemCount&gt;13.0968622100955&lt;/maxItemCount&gt;</v>
      </c>
      <c r="W10" t="str">
        <f t="shared" ca="1" si="8"/>
        <v>&lt;maxItemCount&gt;15.2761457109283&lt;/maxItemCount&gt;</v>
      </c>
      <c r="X10" t="str">
        <f t="shared" ca="1" si="8"/>
        <v>&lt;maxItemCount&gt;16.1538461538462&lt;/maxItemCount&gt;</v>
      </c>
      <c r="Y10" t="str">
        <f t="shared" ca="1" si="8"/>
        <v>&lt;maxItemCount&gt;21.7342087389631&lt;/maxItemCount&gt;</v>
      </c>
      <c r="AG10" s="1" t="str">
        <f t="shared" si="1"/>
        <v>99-168</v>
      </c>
    </row>
    <row r="11" spans="1:34" x14ac:dyDescent="0.25">
      <c r="A11">
        <f t="shared" si="5"/>
        <v>0.75</v>
      </c>
      <c r="B11" s="4">
        <v>3</v>
      </c>
      <c r="C11" s="4">
        <v>4</v>
      </c>
      <c r="E11">
        <f t="shared" si="6"/>
        <v>0.1575</v>
      </c>
      <c r="F11">
        <f t="shared" si="2"/>
        <v>0.140625</v>
      </c>
      <c r="G11">
        <f t="shared" si="2"/>
        <v>0.13049999999999998</v>
      </c>
      <c r="H11">
        <f t="shared" si="3"/>
        <v>0.12374999999999999</v>
      </c>
      <c r="I11">
        <f t="shared" si="3"/>
        <v>0.11249999999999998</v>
      </c>
      <c r="J11">
        <f t="shared" si="3"/>
        <v>0.106875</v>
      </c>
      <c r="K11">
        <f t="shared" si="3"/>
        <v>9.8437499999999997E-2</v>
      </c>
      <c r="L11">
        <f t="shared" si="3"/>
        <v>8.480769230769232E-2</v>
      </c>
      <c r="M11">
        <f t="shared" si="3"/>
        <v>8.0357142857142863E-2</v>
      </c>
      <c r="N11">
        <f t="shared" si="3"/>
        <v>6.0468749999999995E-2</v>
      </c>
      <c r="AG11" s="1" t="str">
        <f t="shared" si="1"/>
        <v>105-170</v>
      </c>
    </row>
    <row r="12" spans="1:34" x14ac:dyDescent="0.25">
      <c r="A12">
        <f t="shared" si="5"/>
        <v>0.6</v>
      </c>
      <c r="B12" s="4">
        <v>3</v>
      </c>
      <c r="C12" s="4">
        <v>5</v>
      </c>
      <c r="E12">
        <f t="shared" si="6"/>
        <v>0.126</v>
      </c>
      <c r="F12">
        <f t="shared" si="2"/>
        <v>0.11249999999999999</v>
      </c>
      <c r="G12">
        <f t="shared" si="2"/>
        <v>0.10439999999999999</v>
      </c>
      <c r="H12">
        <f t="shared" si="3"/>
        <v>9.8999999999999991E-2</v>
      </c>
      <c r="I12">
        <f t="shared" si="3"/>
        <v>8.9999999999999983E-2</v>
      </c>
      <c r="J12">
        <f t="shared" si="3"/>
        <v>8.5500000000000007E-2</v>
      </c>
      <c r="K12">
        <f t="shared" si="3"/>
        <v>7.8750000000000001E-2</v>
      </c>
      <c r="L12">
        <f t="shared" si="3"/>
        <v>6.7846153846153848E-2</v>
      </c>
      <c r="M12">
        <f t="shared" si="3"/>
        <v>6.4285714285714279E-2</v>
      </c>
      <c r="N12">
        <f t="shared" si="3"/>
        <v>4.8374999999999994E-2</v>
      </c>
      <c r="P12" s="5"/>
      <c r="Q12" s="5"/>
      <c r="R12" s="5"/>
      <c r="S12" s="5"/>
      <c r="T12" s="5"/>
      <c r="U12" s="5"/>
      <c r="V12" s="5"/>
      <c r="W12" s="5"/>
      <c r="X12" s="5"/>
      <c r="Y12" s="5"/>
      <c r="AG12" s="1" t="str">
        <f t="shared" si="1"/>
        <v>112-67</v>
      </c>
    </row>
    <row r="13" spans="1:34" x14ac:dyDescent="0.25">
      <c r="A13">
        <f t="shared" si="5"/>
        <v>1.3333333333333333</v>
      </c>
      <c r="B13" s="4">
        <v>4</v>
      </c>
      <c r="C13" s="4">
        <v>3</v>
      </c>
      <c r="E13">
        <f t="shared" si="6"/>
        <v>0.27999999999999997</v>
      </c>
      <c r="F13">
        <f t="shared" si="2"/>
        <v>0.24999999999999997</v>
      </c>
      <c r="G13">
        <f t="shared" si="2"/>
        <v>0.23199999999999998</v>
      </c>
      <c r="H13">
        <f t="shared" si="3"/>
        <v>0.21999999999999995</v>
      </c>
      <c r="I13">
        <f t="shared" si="3"/>
        <v>0.19999999999999998</v>
      </c>
      <c r="J13">
        <f t="shared" si="3"/>
        <v>0.19</v>
      </c>
      <c r="K13">
        <f t="shared" si="3"/>
        <v>0.17499999999999999</v>
      </c>
      <c r="L13">
        <f t="shared" si="3"/>
        <v>0.15076923076923077</v>
      </c>
      <c r="M13">
        <f t="shared" si="3"/>
        <v>0.14285714285714285</v>
      </c>
      <c r="N13">
        <f t="shared" si="3"/>
        <v>0.1075</v>
      </c>
      <c r="AG13" s="1" t="str">
        <f t="shared" si="1"/>
        <v>135-172</v>
      </c>
    </row>
    <row r="14" spans="1:34" x14ac:dyDescent="0.25">
      <c r="A14">
        <f t="shared" si="5"/>
        <v>0.7142857142857143</v>
      </c>
      <c r="B14" s="4">
        <v>5</v>
      </c>
      <c r="C14" s="4">
        <v>7</v>
      </c>
      <c r="E14">
        <f t="shared" si="6"/>
        <v>0.15</v>
      </c>
      <c r="F14">
        <f t="shared" si="2"/>
        <v>0.1339285714285714</v>
      </c>
      <c r="G14">
        <f t="shared" si="2"/>
        <v>0.12428571428571429</v>
      </c>
      <c r="H14">
        <f t="shared" si="3"/>
        <v>0.11785714285714284</v>
      </c>
      <c r="I14">
        <f t="shared" si="3"/>
        <v>0.10714285714285712</v>
      </c>
      <c r="J14">
        <f t="shared" si="3"/>
        <v>0.10178571428571428</v>
      </c>
      <c r="K14">
        <f t="shared" si="3"/>
        <v>9.375E-2</v>
      </c>
      <c r="L14">
        <f t="shared" si="3"/>
        <v>8.0769230769230774E-2</v>
      </c>
      <c r="M14">
        <f t="shared" si="3"/>
        <v>7.6530612244897961E-2</v>
      </c>
      <c r="N14">
        <f t="shared" si="3"/>
        <v>5.7589285714285711E-2</v>
      </c>
      <c r="AG14" s="1" t="str">
        <f t="shared" si="1"/>
        <v>143-207</v>
      </c>
    </row>
    <row r="15" spans="1:34" x14ac:dyDescent="0.25">
      <c r="A15">
        <f t="shared" si="5"/>
        <v>0.5892857142857143</v>
      </c>
      <c r="B15" s="4">
        <v>99</v>
      </c>
      <c r="C15" s="4">
        <v>168</v>
      </c>
      <c r="E15">
        <f t="shared" si="6"/>
        <v>0.12375</v>
      </c>
      <c r="F15">
        <f t="shared" si="2"/>
        <v>0.11049107142857141</v>
      </c>
      <c r="G15">
        <f t="shared" si="2"/>
        <v>0.10253571428571429</v>
      </c>
      <c r="H15">
        <f t="shared" si="3"/>
        <v>9.7232142857142836E-2</v>
      </c>
      <c r="I15">
        <f t="shared" si="3"/>
        <v>8.839285714285712E-2</v>
      </c>
      <c r="J15">
        <f t="shared" si="3"/>
        <v>8.397321428571429E-2</v>
      </c>
      <c r="K15">
        <f t="shared" si="3"/>
        <v>7.7343750000000003E-2</v>
      </c>
      <c r="L15">
        <f t="shared" si="3"/>
        <v>6.6634615384615389E-2</v>
      </c>
      <c r="M15">
        <f t="shared" si="3"/>
        <v>6.313775510204081E-2</v>
      </c>
      <c r="N15">
        <f t="shared" si="3"/>
        <v>4.7511160714285711E-2</v>
      </c>
      <c r="AG15" s="1" t="str">
        <f t="shared" si="1"/>
        <v>145-205</v>
      </c>
    </row>
    <row r="16" spans="1:34" x14ac:dyDescent="0.25">
      <c r="A16">
        <f t="shared" si="5"/>
        <v>0.61764705882352944</v>
      </c>
      <c r="B16" s="4">
        <v>105</v>
      </c>
      <c r="C16" s="4">
        <v>170</v>
      </c>
      <c r="E16">
        <f t="shared" si="6"/>
        <v>0.12970588235294117</v>
      </c>
      <c r="F16">
        <f t="shared" si="2"/>
        <v>0.11580882352941177</v>
      </c>
      <c r="G16">
        <f t="shared" si="2"/>
        <v>0.10747058823529411</v>
      </c>
      <c r="H16">
        <f t="shared" si="3"/>
        <v>0.10191176470588233</v>
      </c>
      <c r="I16">
        <f t="shared" si="3"/>
        <v>9.2647058823529388E-2</v>
      </c>
      <c r="J16">
        <f t="shared" si="3"/>
        <v>8.8014705882352939E-2</v>
      </c>
      <c r="K16">
        <f t="shared" si="3"/>
        <v>8.1066176470588239E-2</v>
      </c>
      <c r="L16">
        <f t="shared" si="3"/>
        <v>6.9841628959276023E-2</v>
      </c>
      <c r="M16">
        <f t="shared" si="3"/>
        <v>6.6176470588235295E-2</v>
      </c>
      <c r="N16">
        <f t="shared" si="3"/>
        <v>4.9797794117647051E-2</v>
      </c>
      <c r="AG16" s="1" t="str">
        <f t="shared" si="1"/>
        <v>243-340</v>
      </c>
    </row>
    <row r="17" spans="1:33" x14ac:dyDescent="0.25">
      <c r="A17">
        <f t="shared" si="5"/>
        <v>1.6716417910447761</v>
      </c>
      <c r="B17" s="4">
        <v>112</v>
      </c>
      <c r="C17" s="4">
        <v>67</v>
      </c>
      <c r="E17">
        <f t="shared" si="6"/>
        <v>0.35104477611940293</v>
      </c>
      <c r="F17">
        <f t="shared" si="2"/>
        <v>0.31343283582089548</v>
      </c>
      <c r="G17">
        <f t="shared" si="2"/>
        <v>0.29086567164179106</v>
      </c>
      <c r="H17">
        <f t="shared" si="3"/>
        <v>0.27582089552238803</v>
      </c>
      <c r="I17">
        <f t="shared" si="3"/>
        <v>0.25074626865671634</v>
      </c>
      <c r="J17">
        <f t="shared" si="3"/>
        <v>0.23820895522388058</v>
      </c>
      <c r="K17">
        <f t="shared" si="3"/>
        <v>0.21940298507462686</v>
      </c>
      <c r="L17">
        <f t="shared" si="3"/>
        <v>0.18902411021814006</v>
      </c>
      <c r="M17">
        <f t="shared" si="3"/>
        <v>0.17910447761194029</v>
      </c>
      <c r="N17">
        <f t="shared" si="3"/>
        <v>0.13477611940298503</v>
      </c>
      <c r="P17" s="4"/>
      <c r="Q17" s="4"/>
      <c r="R17" s="4"/>
      <c r="AG17" s="1" t="str">
        <f t="shared" si="1"/>
        <v>257-229</v>
      </c>
    </row>
    <row r="18" spans="1:33" x14ac:dyDescent="0.25">
      <c r="A18">
        <f t="shared" si="5"/>
        <v>0.78488372093023251</v>
      </c>
      <c r="B18" s="4">
        <v>135</v>
      </c>
      <c r="C18" s="4">
        <v>172</v>
      </c>
      <c r="E18">
        <f t="shared" si="6"/>
        <v>0.16482558139534884</v>
      </c>
      <c r="F18">
        <f t="shared" si="2"/>
        <v>0.14716569767441859</v>
      </c>
      <c r="G18">
        <f t="shared" si="2"/>
        <v>0.13656976744186047</v>
      </c>
      <c r="H18">
        <f t="shared" si="3"/>
        <v>0.12950581395348834</v>
      </c>
      <c r="I18">
        <f t="shared" si="3"/>
        <v>0.11773255813953487</v>
      </c>
      <c r="J18">
        <f t="shared" si="3"/>
        <v>0.11184593023255814</v>
      </c>
      <c r="K18">
        <f t="shared" si="3"/>
        <v>0.10301598837209303</v>
      </c>
      <c r="L18">
        <f t="shared" si="3"/>
        <v>8.8752236135957077E-2</v>
      </c>
      <c r="M18">
        <f t="shared" si="3"/>
        <v>8.4094684385382062E-2</v>
      </c>
      <c r="N18">
        <f t="shared" si="3"/>
        <v>6.3281249999999983E-2</v>
      </c>
      <c r="AG18" s="1" t="str">
        <f t="shared" si="1"/>
        <v>373-436</v>
      </c>
    </row>
    <row r="19" spans="1:33" x14ac:dyDescent="0.25">
      <c r="A19">
        <f t="shared" si="5"/>
        <v>0.6908212560386473</v>
      </c>
      <c r="B19" s="4">
        <v>143</v>
      </c>
      <c r="C19" s="4">
        <v>207</v>
      </c>
      <c r="E19">
        <f t="shared" si="6"/>
        <v>0.14507246376811592</v>
      </c>
      <c r="F19">
        <f t="shared" si="2"/>
        <v>0.12952898550724637</v>
      </c>
      <c r="G19">
        <f t="shared" si="2"/>
        <v>0.12020289855072462</v>
      </c>
      <c r="H19">
        <f t="shared" si="3"/>
        <v>0.11398550724637681</v>
      </c>
      <c r="I19">
        <f t="shared" si="3"/>
        <v>0.10362318840579708</v>
      </c>
      <c r="J19">
        <f t="shared" si="3"/>
        <v>9.8442028985507246E-2</v>
      </c>
      <c r="K19">
        <f t="shared" si="3"/>
        <v>9.0670289855072458E-2</v>
      </c>
      <c r="L19">
        <f t="shared" si="3"/>
        <v>7.8115942028985516E-2</v>
      </c>
      <c r="M19">
        <f t="shared" si="3"/>
        <v>7.4016563146997921E-2</v>
      </c>
      <c r="N19">
        <f t="shared" si="3"/>
        <v>5.5697463768115942E-2</v>
      </c>
      <c r="AG19" s="1" t="str">
        <f t="shared" si="1"/>
        <v>752-1440</v>
      </c>
    </row>
    <row r="20" spans="1:33" x14ac:dyDescent="0.25">
      <c r="A20">
        <f t="shared" si="5"/>
        <v>0.70731707317073167</v>
      </c>
      <c r="B20" s="4">
        <v>145</v>
      </c>
      <c r="C20" s="4">
        <v>205</v>
      </c>
      <c r="E20">
        <f t="shared" si="6"/>
        <v>0.14853658536585368</v>
      </c>
      <c r="F20">
        <f t="shared" si="2"/>
        <v>0.13262195121951217</v>
      </c>
      <c r="G20">
        <f t="shared" si="2"/>
        <v>0.12307317073170732</v>
      </c>
      <c r="H20">
        <f t="shared" si="3"/>
        <v>0.11670731707317071</v>
      </c>
      <c r="I20">
        <f t="shared" si="3"/>
        <v>0.10609756097560974</v>
      </c>
      <c r="J20">
        <f t="shared" si="3"/>
        <v>0.10079268292682926</v>
      </c>
      <c r="K20">
        <f t="shared" si="3"/>
        <v>9.2835365853658536E-2</v>
      </c>
      <c r="L20">
        <f t="shared" si="3"/>
        <v>7.9981238273921201E-2</v>
      </c>
      <c r="M20">
        <f t="shared" si="3"/>
        <v>7.5783972125435542E-2</v>
      </c>
      <c r="N20">
        <f t="shared" si="3"/>
        <v>5.7027439024390239E-2</v>
      </c>
    </row>
    <row r="21" spans="1:33" x14ac:dyDescent="0.25">
      <c r="A21">
        <f t="shared" si="5"/>
        <v>0.71470588235294119</v>
      </c>
      <c r="B21" s="4">
        <v>243</v>
      </c>
      <c r="C21" s="4">
        <v>340</v>
      </c>
      <c r="E21">
        <f t="shared" si="6"/>
        <v>0.15008823529411763</v>
      </c>
      <c r="F21">
        <f t="shared" si="2"/>
        <v>0.13400735294117647</v>
      </c>
      <c r="G21">
        <f t="shared" si="2"/>
        <v>0.12435882352941174</v>
      </c>
      <c r="H21">
        <f t="shared" si="3"/>
        <v>0.11792647058823529</v>
      </c>
      <c r="I21">
        <f t="shared" si="3"/>
        <v>0.10720588235294116</v>
      </c>
      <c r="J21">
        <f t="shared" si="3"/>
        <v>0.10184558823529412</v>
      </c>
      <c r="K21">
        <f t="shared" si="3"/>
        <v>9.3805147058823535E-2</v>
      </c>
      <c r="L21">
        <f t="shared" si="3"/>
        <v>8.081674208144797E-2</v>
      </c>
      <c r="M21">
        <f t="shared" si="3"/>
        <v>7.6575630252100846E-2</v>
      </c>
      <c r="N21">
        <f t="shared" si="3"/>
        <v>5.7623161764705874E-2</v>
      </c>
    </row>
    <row r="22" spans="1:33" x14ac:dyDescent="0.25">
      <c r="A22">
        <f t="shared" si="5"/>
        <v>1.1222707423580787</v>
      </c>
      <c r="B22" s="4">
        <v>257</v>
      </c>
      <c r="C22" s="4">
        <v>229</v>
      </c>
      <c r="E22">
        <f t="shared" si="6"/>
        <v>0.23567685589519646</v>
      </c>
      <c r="F22">
        <f t="shared" si="2"/>
        <v>0.21042576419213974</v>
      </c>
      <c r="G22">
        <f t="shared" si="2"/>
        <v>0.19527510917030566</v>
      </c>
      <c r="H22">
        <f t="shared" si="3"/>
        <v>0.18517467248908295</v>
      </c>
      <c r="I22">
        <f t="shared" si="3"/>
        <v>0.16834061135371176</v>
      </c>
      <c r="J22">
        <f t="shared" si="3"/>
        <v>0.15992358078602623</v>
      </c>
      <c r="K22">
        <f t="shared" si="3"/>
        <v>0.14729803493449783</v>
      </c>
      <c r="L22">
        <f t="shared" si="3"/>
        <v>0.12690292240510581</v>
      </c>
      <c r="M22">
        <f t="shared" si="3"/>
        <v>0.12024329382407985</v>
      </c>
      <c r="N22">
        <f t="shared" si="3"/>
        <v>9.0483078602620087E-2</v>
      </c>
      <c r="P22" s="4"/>
      <c r="Q22" s="4"/>
      <c r="R22" s="4"/>
    </row>
    <row r="23" spans="1:33" x14ac:dyDescent="0.25">
      <c r="A23">
        <f t="shared" si="5"/>
        <v>0.85550458715596334</v>
      </c>
      <c r="B23" s="4">
        <v>373</v>
      </c>
      <c r="C23" s="4">
        <v>436</v>
      </c>
      <c r="E23">
        <f t="shared" si="6"/>
        <v>0.17965596330275227</v>
      </c>
      <c r="F23">
        <f t="shared" si="2"/>
        <v>0.1604071100917431</v>
      </c>
      <c r="G23">
        <f t="shared" si="2"/>
        <v>0.14885779816513758</v>
      </c>
      <c r="H23">
        <f t="shared" si="3"/>
        <v>0.14115825688073391</v>
      </c>
      <c r="I23">
        <f t="shared" si="3"/>
        <v>0.12832568807339448</v>
      </c>
      <c r="J23">
        <f t="shared" si="3"/>
        <v>0.12190940366972478</v>
      </c>
      <c r="K23">
        <f t="shared" si="3"/>
        <v>0.11228497706422018</v>
      </c>
      <c r="L23">
        <f t="shared" si="3"/>
        <v>9.6737826393789694E-2</v>
      </c>
      <c r="M23">
        <f t="shared" si="3"/>
        <v>9.1661205766710344E-2</v>
      </c>
      <c r="N23">
        <f t="shared" si="3"/>
        <v>6.8975057339449544E-2</v>
      </c>
    </row>
    <row r="24" spans="1:33" x14ac:dyDescent="0.25">
      <c r="A24">
        <f t="shared" si="5"/>
        <v>0.52222222222222225</v>
      </c>
      <c r="B24" s="4">
        <v>752</v>
      </c>
      <c r="C24" s="4">
        <v>1440</v>
      </c>
      <c r="E24">
        <f t="shared" si="6"/>
        <v>0.10966666666666666</v>
      </c>
      <c r="F24">
        <f t="shared" si="6"/>
        <v>9.7916666666666666E-2</v>
      </c>
      <c r="G24">
        <f t="shared" si="6"/>
        <v>9.0866666666666665E-2</v>
      </c>
      <c r="H24">
        <f t="shared" ref="H24:N24" si="9">H$3*H$7*$B24/$C24/H$6</f>
        <v>8.6166666666666669E-2</v>
      </c>
      <c r="I24">
        <f t="shared" si="9"/>
        <v>7.8333333333333324E-2</v>
      </c>
      <c r="J24">
        <f t="shared" si="9"/>
        <v>7.4416666666666659E-2</v>
      </c>
      <c r="K24">
        <f t="shared" si="9"/>
        <v>6.8541666666666667E-2</v>
      </c>
      <c r="L24">
        <f t="shared" si="9"/>
        <v>5.9051282051282065E-2</v>
      </c>
      <c r="M24">
        <f t="shared" si="9"/>
        <v>5.5952380952380955E-2</v>
      </c>
      <c r="N24">
        <f t="shared" si="9"/>
        <v>4.2104166666666665E-2</v>
      </c>
    </row>
    <row r="27" spans="1:33" x14ac:dyDescent="0.25">
      <c r="E27" s="3" t="s">
        <v>19</v>
      </c>
      <c r="F27" s="3"/>
      <c r="H27" s="7">
        <v>10</v>
      </c>
      <c r="I27" t="s">
        <v>2</v>
      </c>
      <c r="J27" s="8" t="s">
        <v>3</v>
      </c>
      <c r="L27" s="7">
        <v>1.4</v>
      </c>
      <c r="P27" s="4"/>
      <c r="Q27" s="4"/>
      <c r="R27" s="4"/>
    </row>
    <row r="28" spans="1:33" x14ac:dyDescent="0.25">
      <c r="E28" s="4">
        <v>1</v>
      </c>
      <c r="F28" s="4">
        <v>8</v>
      </c>
      <c r="G28" s="4">
        <v>5</v>
      </c>
      <c r="H28" s="4">
        <v>4</v>
      </c>
      <c r="I28" s="4">
        <v>3</v>
      </c>
      <c r="J28" s="4">
        <v>16</v>
      </c>
      <c r="K28" s="4">
        <v>16</v>
      </c>
      <c r="L28" s="4">
        <v>19.5</v>
      </c>
      <c r="M28" s="4">
        <v>21</v>
      </c>
      <c r="N28" s="4">
        <v>32</v>
      </c>
    </row>
    <row r="29" spans="1:33" x14ac:dyDescent="0.25">
      <c r="E29" s="4">
        <v>1</v>
      </c>
      <c r="F29" s="4">
        <v>7</v>
      </c>
      <c r="G29" s="4">
        <v>4</v>
      </c>
      <c r="H29" s="4">
        <v>3</v>
      </c>
      <c r="I29" s="4">
        <v>2</v>
      </c>
      <c r="J29" s="4">
        <v>10</v>
      </c>
      <c r="K29" s="4">
        <v>9</v>
      </c>
      <c r="L29" s="4">
        <v>9</v>
      </c>
      <c r="M29" s="4">
        <v>9</v>
      </c>
      <c r="N29" s="4">
        <v>9</v>
      </c>
    </row>
    <row r="30" spans="1:33" x14ac:dyDescent="0.25">
      <c r="B30" s="2"/>
      <c r="C30" s="2"/>
      <c r="D30" s="4" t="s">
        <v>0</v>
      </c>
      <c r="E30" s="4">
        <v>720</v>
      </c>
      <c r="F30">
        <f>F31*F28/F29</f>
        <v>822.85714285714289</v>
      </c>
      <c r="G30" s="4">
        <v>900</v>
      </c>
      <c r="H30" s="4">
        <v>960</v>
      </c>
      <c r="I30" s="4">
        <v>1080</v>
      </c>
      <c r="J30" s="4">
        <v>1152</v>
      </c>
      <c r="K30" s="4">
        <v>1280</v>
      </c>
      <c r="L30" s="4">
        <v>1560</v>
      </c>
      <c r="M30" s="4">
        <v>1680</v>
      </c>
      <c r="N30">
        <f>N31*N28/N29</f>
        <v>2560</v>
      </c>
    </row>
    <row r="31" spans="1:33" x14ac:dyDescent="0.25">
      <c r="B31" s="2" t="s">
        <v>0</v>
      </c>
      <c r="C31" s="2" t="s">
        <v>1</v>
      </c>
      <c r="D31" s="4" t="s">
        <v>1</v>
      </c>
      <c r="E31" s="4">
        <v>720</v>
      </c>
      <c r="F31" s="4">
        <v>720</v>
      </c>
      <c r="G31" s="4">
        <v>720</v>
      </c>
      <c r="H31" s="4">
        <v>720</v>
      </c>
      <c r="I31" s="4">
        <v>720</v>
      </c>
      <c r="J31" s="4">
        <v>720</v>
      </c>
      <c r="K31" s="4">
        <v>720</v>
      </c>
      <c r="L31" s="4">
        <v>720</v>
      </c>
      <c r="M31" s="4">
        <v>720</v>
      </c>
      <c r="N31" s="4">
        <v>720</v>
      </c>
    </row>
    <row r="32" spans="1:33" x14ac:dyDescent="0.25">
      <c r="B32" s="4">
        <v>1</v>
      </c>
      <c r="C32" s="4">
        <v>1</v>
      </c>
      <c r="E32">
        <f t="shared" ref="E32:N32" si="10">(E8*$L$27/2)-(E8/2)</f>
        <v>4.1999999999999996E-2</v>
      </c>
      <c r="F32">
        <f t="shared" si="10"/>
        <v>3.7499999999999992E-2</v>
      </c>
      <c r="G32">
        <f t="shared" si="10"/>
        <v>3.4799999999999984E-2</v>
      </c>
      <c r="H32">
        <f t="shared" si="10"/>
        <v>3.2999999999999988E-2</v>
      </c>
      <c r="I32">
        <f t="shared" si="10"/>
        <v>2.9999999999999985E-2</v>
      </c>
      <c r="J32">
        <f t="shared" si="10"/>
        <v>2.8499999999999998E-2</v>
      </c>
      <c r="K32">
        <f t="shared" si="10"/>
        <v>2.6249999999999996E-2</v>
      </c>
      <c r="L32">
        <f t="shared" si="10"/>
        <v>2.2615384615384607E-2</v>
      </c>
      <c r="M32">
        <f t="shared" si="10"/>
        <v>2.1428571428571429E-2</v>
      </c>
      <c r="N32">
        <f t="shared" si="10"/>
        <v>1.6124999999999994E-2</v>
      </c>
      <c r="P32" s="4"/>
      <c r="Q32" s="4"/>
      <c r="R32" s="4"/>
    </row>
    <row r="33" spans="2:18" x14ac:dyDescent="0.25">
      <c r="B33" s="4">
        <v>1</v>
      </c>
      <c r="C33" s="4">
        <v>2</v>
      </c>
      <c r="E33">
        <f t="shared" ref="E33:F33" si="11">(E9*$L$27/2)-(E9/2)</f>
        <v>2.0999999999999998E-2</v>
      </c>
      <c r="F33">
        <f t="shared" si="11"/>
        <v>1.8749999999999996E-2</v>
      </c>
      <c r="G33">
        <f t="shared" ref="G33:N42" si="12">(G9*$L$27/2)-(G9/2)</f>
        <v>1.7399999999999992E-2</v>
      </c>
      <c r="H33">
        <f t="shared" si="12"/>
        <v>1.6499999999999994E-2</v>
      </c>
      <c r="I33">
        <f t="shared" si="12"/>
        <v>1.4999999999999993E-2</v>
      </c>
      <c r="J33">
        <f t="shared" si="12"/>
        <v>1.4249999999999999E-2</v>
      </c>
      <c r="K33">
        <f t="shared" si="12"/>
        <v>1.3124999999999998E-2</v>
      </c>
      <c r="L33">
        <f t="shared" si="12"/>
        <v>1.1307692307692303E-2</v>
      </c>
      <c r="M33">
        <f t="shared" si="12"/>
        <v>1.0714285714285714E-2</v>
      </c>
      <c r="N33">
        <f t="shared" si="12"/>
        <v>8.0624999999999968E-3</v>
      </c>
    </row>
    <row r="34" spans="2:18" x14ac:dyDescent="0.25">
      <c r="B34" s="4">
        <v>2</v>
      </c>
      <c r="C34" s="4">
        <v>3</v>
      </c>
      <c r="E34">
        <f t="shared" ref="E34:F34" si="13">(E10*$L$27/2)-(E10/2)</f>
        <v>2.7999999999999997E-2</v>
      </c>
      <c r="F34">
        <f t="shared" si="13"/>
        <v>2.4999999999999988E-2</v>
      </c>
      <c r="G34">
        <f t="shared" si="12"/>
        <v>2.3199999999999998E-2</v>
      </c>
      <c r="H34">
        <f t="shared" si="12"/>
        <v>2.1999999999999985E-2</v>
      </c>
      <c r="I34">
        <f t="shared" si="12"/>
        <v>1.9999999999999997E-2</v>
      </c>
      <c r="J34">
        <f t="shared" si="12"/>
        <v>1.8999999999999989E-2</v>
      </c>
      <c r="K34">
        <f t="shared" si="12"/>
        <v>1.7499999999999995E-2</v>
      </c>
      <c r="L34">
        <f t="shared" si="12"/>
        <v>1.5076923076923071E-2</v>
      </c>
      <c r="M34">
        <f t="shared" si="12"/>
        <v>1.4285714285714284E-2</v>
      </c>
      <c r="N34">
        <f t="shared" si="12"/>
        <v>1.0749999999999999E-2</v>
      </c>
    </row>
    <row r="35" spans="2:18" x14ac:dyDescent="0.25">
      <c r="B35" s="4">
        <v>3</v>
      </c>
      <c r="C35" s="4">
        <v>4</v>
      </c>
      <c r="E35">
        <f t="shared" ref="E35:F35" si="14">(E11*$L$27/2)-(E11/2)</f>
        <v>3.1499999999999986E-2</v>
      </c>
      <c r="F35">
        <f t="shared" si="14"/>
        <v>2.8124999999999997E-2</v>
      </c>
      <c r="G35">
        <f t="shared" si="12"/>
        <v>2.6099999999999984E-2</v>
      </c>
      <c r="H35">
        <f t="shared" si="12"/>
        <v>2.4749999999999987E-2</v>
      </c>
      <c r="I35">
        <f t="shared" si="12"/>
        <v>2.2499999999999985E-2</v>
      </c>
      <c r="J35">
        <f t="shared" si="12"/>
        <v>2.1374999999999991E-2</v>
      </c>
      <c r="K35">
        <f t="shared" si="12"/>
        <v>1.968749999999999E-2</v>
      </c>
      <c r="L35">
        <f t="shared" si="12"/>
        <v>1.6961538461538458E-2</v>
      </c>
      <c r="M35">
        <f t="shared" si="12"/>
        <v>1.607142857142857E-2</v>
      </c>
      <c r="N35">
        <f t="shared" si="12"/>
        <v>1.2093749999999997E-2</v>
      </c>
    </row>
    <row r="36" spans="2:18" x14ac:dyDescent="0.25">
      <c r="B36" s="4">
        <v>3</v>
      </c>
      <c r="C36" s="4">
        <v>5</v>
      </c>
      <c r="E36">
        <f t="shared" ref="E36:F36" si="15">(E12*$L$27/2)-(E12/2)</f>
        <v>2.52E-2</v>
      </c>
      <c r="F36">
        <f t="shared" si="15"/>
        <v>2.2499999999999992E-2</v>
      </c>
      <c r="G36">
        <f t="shared" si="12"/>
        <v>2.0879999999999996E-2</v>
      </c>
      <c r="H36">
        <f t="shared" si="12"/>
        <v>1.9799999999999991E-2</v>
      </c>
      <c r="I36">
        <f t="shared" si="12"/>
        <v>1.7999999999999995E-2</v>
      </c>
      <c r="J36">
        <f t="shared" si="12"/>
        <v>1.7099999999999997E-2</v>
      </c>
      <c r="K36">
        <f t="shared" si="12"/>
        <v>1.5749999999999993E-2</v>
      </c>
      <c r="L36">
        <f t="shared" si="12"/>
        <v>1.3569230769230764E-2</v>
      </c>
      <c r="M36">
        <f t="shared" si="12"/>
        <v>1.2857142857142852E-2</v>
      </c>
      <c r="N36">
        <f t="shared" si="12"/>
        <v>9.6749999999999996E-3</v>
      </c>
    </row>
    <row r="37" spans="2:18" x14ac:dyDescent="0.25">
      <c r="B37" s="4">
        <v>4</v>
      </c>
      <c r="C37" s="4">
        <v>3</v>
      </c>
      <c r="E37">
        <f t="shared" ref="E37:F37" si="16">(E13*$L$27/2)-(E13/2)</f>
        <v>5.5999999999999994E-2</v>
      </c>
      <c r="F37">
        <f t="shared" si="16"/>
        <v>4.9999999999999975E-2</v>
      </c>
      <c r="G37">
        <f t="shared" si="12"/>
        <v>4.6399999999999997E-2</v>
      </c>
      <c r="H37">
        <f t="shared" si="12"/>
        <v>4.399999999999997E-2</v>
      </c>
      <c r="I37">
        <f t="shared" si="12"/>
        <v>3.9999999999999994E-2</v>
      </c>
      <c r="J37">
        <f t="shared" si="12"/>
        <v>3.7999999999999978E-2</v>
      </c>
      <c r="K37">
        <f t="shared" si="12"/>
        <v>3.4999999999999989E-2</v>
      </c>
      <c r="L37">
        <f t="shared" si="12"/>
        <v>3.0153846153846142E-2</v>
      </c>
      <c r="M37">
        <f t="shared" si="12"/>
        <v>2.8571428571428567E-2</v>
      </c>
      <c r="N37">
        <f t="shared" si="12"/>
        <v>2.1499999999999998E-2</v>
      </c>
      <c r="P37" s="4"/>
      <c r="Q37" s="4"/>
      <c r="R37" s="4"/>
    </row>
    <row r="38" spans="2:18" x14ac:dyDescent="0.25">
      <c r="B38" s="4">
        <v>5</v>
      </c>
      <c r="C38" s="4">
        <v>7</v>
      </c>
      <c r="E38">
        <f t="shared" ref="E38:F38" si="17">(E14*$L$27/2)-(E14/2)</f>
        <v>0.03</v>
      </c>
      <c r="F38">
        <f t="shared" si="17"/>
        <v>2.6785714285714274E-2</v>
      </c>
      <c r="G38">
        <f t="shared" si="12"/>
        <v>2.4857142857142848E-2</v>
      </c>
      <c r="H38">
        <f t="shared" si="12"/>
        <v>2.357142857142857E-2</v>
      </c>
      <c r="I38">
        <f t="shared" si="12"/>
        <v>2.1428571428571422E-2</v>
      </c>
      <c r="J38">
        <f t="shared" si="12"/>
        <v>2.0357142857142851E-2</v>
      </c>
      <c r="K38">
        <f t="shared" si="12"/>
        <v>1.8749999999999989E-2</v>
      </c>
      <c r="L38">
        <f t="shared" si="12"/>
        <v>1.6153846153846151E-2</v>
      </c>
      <c r="M38">
        <f t="shared" si="12"/>
        <v>1.5306122448979588E-2</v>
      </c>
      <c r="N38">
        <f t="shared" si="12"/>
        <v>1.1517857142857139E-2</v>
      </c>
    </row>
    <row r="39" spans="2:18" x14ac:dyDescent="0.25">
      <c r="B39" s="4">
        <v>99</v>
      </c>
      <c r="C39" s="4">
        <v>168</v>
      </c>
      <c r="E39">
        <f t="shared" ref="E39:F39" si="18">(E15*$L$27/2)-(E15/2)</f>
        <v>2.4749999999999994E-2</v>
      </c>
      <c r="F39">
        <f t="shared" si="18"/>
        <v>2.2098214285714284E-2</v>
      </c>
      <c r="G39">
        <f t="shared" si="12"/>
        <v>2.0507142857142849E-2</v>
      </c>
      <c r="H39">
        <f t="shared" si="12"/>
        <v>1.9446428571428566E-2</v>
      </c>
      <c r="I39">
        <f t="shared" si="12"/>
        <v>1.7678571428571419E-2</v>
      </c>
      <c r="J39">
        <f t="shared" si="12"/>
        <v>1.6794642857142855E-2</v>
      </c>
      <c r="K39">
        <f t="shared" si="12"/>
        <v>1.5468749999999996E-2</v>
      </c>
      <c r="L39">
        <f t="shared" si="12"/>
        <v>1.3326923076923076E-2</v>
      </c>
      <c r="M39">
        <f t="shared" si="12"/>
        <v>1.2627551020408162E-2</v>
      </c>
      <c r="N39">
        <f t="shared" si="12"/>
        <v>9.5022321428571421E-3</v>
      </c>
    </row>
    <row r="40" spans="2:18" x14ac:dyDescent="0.25">
      <c r="B40" s="4">
        <v>105</v>
      </c>
      <c r="C40" s="4">
        <v>170</v>
      </c>
      <c r="E40">
        <f t="shared" ref="E40:F40" si="19">(E16*$L$27/2)-(E16/2)</f>
        <v>2.5941176470588231E-2</v>
      </c>
      <c r="F40">
        <f t="shared" si="19"/>
        <v>2.3161764705882354E-2</v>
      </c>
      <c r="G40">
        <f t="shared" si="12"/>
        <v>2.1494117647058823E-2</v>
      </c>
      <c r="H40">
        <f t="shared" si="12"/>
        <v>2.0382352941176456E-2</v>
      </c>
      <c r="I40">
        <f t="shared" si="12"/>
        <v>1.8529411764705878E-2</v>
      </c>
      <c r="J40">
        <f t="shared" si="12"/>
        <v>1.7602941176470585E-2</v>
      </c>
      <c r="K40">
        <f t="shared" si="12"/>
        <v>1.6213235294117646E-2</v>
      </c>
      <c r="L40">
        <f t="shared" si="12"/>
        <v>1.3968325791855203E-2</v>
      </c>
      <c r="M40">
        <f t="shared" si="12"/>
        <v>1.3235294117647053E-2</v>
      </c>
      <c r="N40">
        <f t="shared" si="12"/>
        <v>9.9595588235294047E-3</v>
      </c>
    </row>
    <row r="41" spans="2:18" x14ac:dyDescent="0.25">
      <c r="B41" s="4">
        <v>112</v>
      </c>
      <c r="C41" s="4">
        <v>67</v>
      </c>
      <c r="E41">
        <f t="shared" ref="E41:F41" si="20">(E17*$L$27/2)-(E17/2)</f>
        <v>7.020895522388057E-2</v>
      </c>
      <c r="F41">
        <f t="shared" si="20"/>
        <v>6.2686567164179086E-2</v>
      </c>
      <c r="G41">
        <f t="shared" si="12"/>
        <v>5.8173134328358189E-2</v>
      </c>
      <c r="H41">
        <f t="shared" si="12"/>
        <v>5.5164179104477601E-2</v>
      </c>
      <c r="I41">
        <f t="shared" si="12"/>
        <v>5.0149253731343268E-2</v>
      </c>
      <c r="J41">
        <f t="shared" si="12"/>
        <v>4.7641791044776116E-2</v>
      </c>
      <c r="K41">
        <f t="shared" si="12"/>
        <v>4.388059701492536E-2</v>
      </c>
      <c r="L41">
        <f t="shared" si="12"/>
        <v>3.7804822043627992E-2</v>
      </c>
      <c r="M41">
        <f t="shared" si="12"/>
        <v>3.5820895522388055E-2</v>
      </c>
      <c r="N41">
        <f t="shared" si="12"/>
        <v>2.6955223880596998E-2</v>
      </c>
    </row>
    <row r="42" spans="2:18" x14ac:dyDescent="0.25">
      <c r="B42" s="4">
        <v>135</v>
      </c>
      <c r="C42" s="4">
        <v>172</v>
      </c>
      <c r="E42">
        <f t="shared" ref="E42:F42" si="21">(E18*$L$27/2)-(E18/2)</f>
        <v>3.2965116279069756E-2</v>
      </c>
      <c r="F42">
        <f t="shared" si="21"/>
        <v>2.9433139534883718E-2</v>
      </c>
      <c r="G42">
        <f t="shared" si="12"/>
        <v>2.7313953488372095E-2</v>
      </c>
      <c r="H42">
        <f t="shared" si="12"/>
        <v>2.5901162790697665E-2</v>
      </c>
      <c r="I42">
        <f t="shared" si="12"/>
        <v>2.3546511627906969E-2</v>
      </c>
      <c r="J42">
        <f t="shared" si="12"/>
        <v>2.236918604651162E-2</v>
      </c>
      <c r="K42">
        <f t="shared" si="12"/>
        <v>2.0603197674418594E-2</v>
      </c>
      <c r="L42">
        <f t="shared" si="12"/>
        <v>1.7750447227191414E-2</v>
      </c>
      <c r="M42">
        <f t="shared" si="12"/>
        <v>1.6818936877076411E-2</v>
      </c>
      <c r="N42">
        <f t="shared" si="12"/>
        <v>1.2656249999999994E-2</v>
      </c>
      <c r="P42" s="4"/>
      <c r="Q42" s="4"/>
      <c r="R42" s="4"/>
    </row>
    <row r="43" spans="2:18" x14ac:dyDescent="0.25">
      <c r="B43" s="4">
        <v>143</v>
      </c>
      <c r="C43" s="4">
        <v>207</v>
      </c>
      <c r="E43">
        <f t="shared" ref="E43:F43" si="22">(E19*$L$27/2)-(E19/2)</f>
        <v>2.9014492753623181E-2</v>
      </c>
      <c r="F43">
        <f t="shared" si="22"/>
        <v>2.5905797101449274E-2</v>
      </c>
      <c r="G43">
        <f t="shared" ref="G43:N48" si="23">(G19*$L$27/2)-(G19/2)</f>
        <v>2.4040579710144915E-2</v>
      </c>
      <c r="H43">
        <f t="shared" si="23"/>
        <v>2.279710144927536E-2</v>
      </c>
      <c r="I43">
        <f t="shared" si="23"/>
        <v>2.0724637681159418E-2</v>
      </c>
      <c r="J43">
        <f t="shared" si="23"/>
        <v>1.9688405797101446E-2</v>
      </c>
      <c r="K43">
        <f t="shared" si="23"/>
        <v>1.8134057971014493E-2</v>
      </c>
      <c r="L43">
        <f t="shared" si="23"/>
        <v>1.56231884057971E-2</v>
      </c>
      <c r="M43">
        <f t="shared" si="23"/>
        <v>1.480331262939958E-2</v>
      </c>
      <c r="N43">
        <f t="shared" si="23"/>
        <v>1.1139492753623189E-2</v>
      </c>
    </row>
    <row r="44" spans="2:18" x14ac:dyDescent="0.25">
      <c r="B44" s="4">
        <v>145</v>
      </c>
      <c r="C44" s="4">
        <v>205</v>
      </c>
      <c r="E44">
        <f t="shared" ref="E44:F44" si="24">(E20*$L$27/2)-(E20/2)</f>
        <v>2.970731707317073E-2</v>
      </c>
      <c r="F44">
        <f t="shared" si="24"/>
        <v>2.6524390243902435E-2</v>
      </c>
      <c r="G44">
        <f t="shared" si="23"/>
        <v>2.4614634146341463E-2</v>
      </c>
      <c r="H44">
        <f t="shared" si="23"/>
        <v>2.3341463414634132E-2</v>
      </c>
      <c r="I44">
        <f t="shared" si="23"/>
        <v>2.1219512195121942E-2</v>
      </c>
      <c r="J44">
        <f t="shared" si="23"/>
        <v>2.0158536585365851E-2</v>
      </c>
      <c r="K44">
        <f t="shared" si="23"/>
        <v>1.856707317073171E-2</v>
      </c>
      <c r="L44">
        <f t="shared" si="23"/>
        <v>1.5996247654784239E-2</v>
      </c>
      <c r="M44">
        <f t="shared" si="23"/>
        <v>1.5156794425087106E-2</v>
      </c>
      <c r="N44">
        <f t="shared" si="23"/>
        <v>1.1405487804878045E-2</v>
      </c>
    </row>
    <row r="45" spans="2:18" x14ac:dyDescent="0.25">
      <c r="B45" s="4">
        <v>243</v>
      </c>
      <c r="C45" s="4">
        <v>340</v>
      </c>
      <c r="E45">
        <f t="shared" ref="E45:F45" si="25">(E21*$L$27/2)-(E21/2)</f>
        <v>3.0017647058823524E-2</v>
      </c>
      <c r="F45">
        <f t="shared" si="25"/>
        <v>2.6801470588235288E-2</v>
      </c>
      <c r="G45">
        <f t="shared" si="23"/>
        <v>2.4871764705882343E-2</v>
      </c>
      <c r="H45">
        <f t="shared" si="23"/>
        <v>2.3585294117647058E-2</v>
      </c>
      <c r="I45">
        <f t="shared" si="23"/>
        <v>2.1441176470588234E-2</v>
      </c>
      <c r="J45">
        <f t="shared" si="23"/>
        <v>2.0369117647058822E-2</v>
      </c>
      <c r="K45">
        <f t="shared" si="23"/>
        <v>1.8761029411764704E-2</v>
      </c>
      <c r="L45">
        <f t="shared" si="23"/>
        <v>1.6163348416289587E-2</v>
      </c>
      <c r="M45">
        <f t="shared" si="23"/>
        <v>1.5315126050420166E-2</v>
      </c>
      <c r="N45">
        <f t="shared" si="23"/>
        <v>1.1524632352941169E-2</v>
      </c>
    </row>
    <row r="46" spans="2:18" x14ac:dyDescent="0.25">
      <c r="B46" s="4">
        <v>257</v>
      </c>
      <c r="C46" s="4">
        <v>229</v>
      </c>
      <c r="E46">
        <f t="shared" ref="E46:F46" si="26">(E22*$L$27/2)-(E22/2)</f>
        <v>4.7135371179039279E-2</v>
      </c>
      <c r="F46">
        <f t="shared" si="26"/>
        <v>4.2085152838427939E-2</v>
      </c>
      <c r="G46">
        <f t="shared" si="23"/>
        <v>3.9055021834061121E-2</v>
      </c>
      <c r="H46">
        <f t="shared" si="23"/>
        <v>3.7034934497816571E-2</v>
      </c>
      <c r="I46">
        <f t="shared" si="23"/>
        <v>3.366812227074234E-2</v>
      </c>
      <c r="J46">
        <f t="shared" si="23"/>
        <v>3.1984716157205231E-2</v>
      </c>
      <c r="K46">
        <f t="shared" si="23"/>
        <v>2.9459606986899561E-2</v>
      </c>
      <c r="L46">
        <f t="shared" si="23"/>
        <v>2.5380584481021151E-2</v>
      </c>
      <c r="M46">
        <f t="shared" si="23"/>
        <v>2.4048658764815968E-2</v>
      </c>
      <c r="N46">
        <f t="shared" si="23"/>
        <v>1.8096615720524012E-2</v>
      </c>
    </row>
    <row r="47" spans="2:18" x14ac:dyDescent="0.25">
      <c r="B47" s="4">
        <v>373</v>
      </c>
      <c r="C47" s="4">
        <v>436</v>
      </c>
      <c r="E47">
        <f t="shared" ref="E47:F47" si="27">(E23*$L$27/2)-(E23/2)</f>
        <v>3.5931192660550434E-2</v>
      </c>
      <c r="F47">
        <f t="shared" si="27"/>
        <v>3.2081422018348613E-2</v>
      </c>
      <c r="G47">
        <f t="shared" si="23"/>
        <v>2.9771559633027508E-2</v>
      </c>
      <c r="H47">
        <f t="shared" si="23"/>
        <v>2.8231651376146777E-2</v>
      </c>
      <c r="I47">
        <f t="shared" si="23"/>
        <v>2.5665137614678896E-2</v>
      </c>
      <c r="J47">
        <f t="shared" si="23"/>
        <v>2.4381880733944955E-2</v>
      </c>
      <c r="K47">
        <f t="shared" si="23"/>
        <v>2.2456995412844037E-2</v>
      </c>
      <c r="L47">
        <f t="shared" si="23"/>
        <v>1.9347565278757931E-2</v>
      </c>
      <c r="M47">
        <f t="shared" si="23"/>
        <v>1.8332241153342067E-2</v>
      </c>
      <c r="N47">
        <f t="shared" si="23"/>
        <v>1.3795011467889903E-2</v>
      </c>
      <c r="P47" s="4"/>
      <c r="Q47" s="4"/>
      <c r="R47" s="4"/>
    </row>
    <row r="48" spans="2:18" x14ac:dyDescent="0.25">
      <c r="B48" s="4">
        <v>752</v>
      </c>
      <c r="C48" s="4">
        <v>1440</v>
      </c>
      <c r="E48">
        <f t="shared" ref="E48:F48" si="28">(E24*$L$27/2)-(E24/2)</f>
        <v>2.1933333333333332E-2</v>
      </c>
      <c r="F48">
        <f t="shared" si="28"/>
        <v>1.9583333333333335E-2</v>
      </c>
      <c r="G48">
        <f t="shared" si="23"/>
        <v>1.8173333333333326E-2</v>
      </c>
      <c r="H48">
        <f t="shared" si="23"/>
        <v>1.723333333333333E-2</v>
      </c>
      <c r="I48">
        <f t="shared" si="23"/>
        <v>1.5666666666666662E-2</v>
      </c>
      <c r="J48">
        <f t="shared" si="23"/>
        <v>1.4883333333333332E-2</v>
      </c>
      <c r="K48">
        <f t="shared" si="23"/>
        <v>1.3708333333333329E-2</v>
      </c>
      <c r="L48">
        <f t="shared" si="23"/>
        <v>1.1810256410256414E-2</v>
      </c>
      <c r="M48">
        <f t="shared" si="23"/>
        <v>1.1190476190476192E-2</v>
      </c>
      <c r="N48">
        <f t="shared" si="23"/>
        <v>8.4208333333333323E-3</v>
      </c>
    </row>
    <row r="51" spans="2:18" x14ac:dyDescent="0.25">
      <c r="E51" s="3" t="s">
        <v>4</v>
      </c>
      <c r="F51" s="3"/>
    </row>
    <row r="52" spans="2:18" x14ac:dyDescent="0.25">
      <c r="E52" s="4">
        <v>1</v>
      </c>
      <c r="F52" s="4">
        <v>8</v>
      </c>
      <c r="G52" s="4">
        <v>5</v>
      </c>
      <c r="H52" s="4">
        <v>4</v>
      </c>
      <c r="I52" s="4">
        <v>3</v>
      </c>
      <c r="J52" s="4">
        <v>16</v>
      </c>
      <c r="K52" s="4">
        <v>16</v>
      </c>
      <c r="L52" s="4">
        <v>19.5</v>
      </c>
      <c r="M52" s="4">
        <v>21</v>
      </c>
      <c r="N52" s="4">
        <v>32</v>
      </c>
      <c r="P52" s="4"/>
      <c r="Q52" s="4"/>
      <c r="R52" s="4"/>
    </row>
    <row r="53" spans="2:18" x14ac:dyDescent="0.25">
      <c r="E53" s="4">
        <v>1</v>
      </c>
      <c r="F53" s="4">
        <v>7</v>
      </c>
      <c r="G53" s="4">
        <v>4</v>
      </c>
      <c r="H53" s="4">
        <v>3</v>
      </c>
      <c r="I53" s="4">
        <v>2</v>
      </c>
      <c r="J53" s="4">
        <v>10</v>
      </c>
      <c r="K53" s="4">
        <v>9</v>
      </c>
      <c r="L53" s="4">
        <v>9</v>
      </c>
      <c r="M53" s="4">
        <v>9</v>
      </c>
      <c r="N53" s="4">
        <v>9</v>
      </c>
    </row>
    <row r="54" spans="2:18" x14ac:dyDescent="0.25">
      <c r="B54" s="2"/>
      <c r="C54" s="2"/>
      <c r="D54" s="4" t="s">
        <v>0</v>
      </c>
      <c r="E54" s="4">
        <v>720</v>
      </c>
      <c r="F54">
        <f>F55*F52/F53</f>
        <v>822.85714285714289</v>
      </c>
      <c r="G54" s="4">
        <v>900</v>
      </c>
      <c r="H54" s="4">
        <v>960</v>
      </c>
      <c r="I54" s="4">
        <v>1080</v>
      </c>
      <c r="J54" s="4">
        <v>1152</v>
      </c>
      <c r="K54" s="4">
        <v>1280</v>
      </c>
      <c r="L54" s="4">
        <v>1560</v>
      </c>
      <c r="M54" s="4">
        <v>1680</v>
      </c>
      <c r="N54">
        <f>N55*N52/N53</f>
        <v>2560</v>
      </c>
    </row>
    <row r="55" spans="2:18" x14ac:dyDescent="0.25">
      <c r="B55" s="2" t="s">
        <v>0</v>
      </c>
      <c r="C55" s="2" t="s">
        <v>1</v>
      </c>
      <c r="D55" s="4" t="s">
        <v>1</v>
      </c>
      <c r="E55" s="4">
        <v>720</v>
      </c>
      <c r="F55" s="4">
        <v>720</v>
      </c>
      <c r="G55" s="4">
        <v>720</v>
      </c>
      <c r="H55" s="4">
        <v>720</v>
      </c>
      <c r="I55" s="4">
        <v>720</v>
      </c>
      <c r="J55" s="4">
        <v>720</v>
      </c>
      <c r="K55" s="4">
        <v>720</v>
      </c>
      <c r="L55" s="4">
        <v>720</v>
      </c>
      <c r="M55" s="4">
        <v>720</v>
      </c>
      <c r="N55" s="4">
        <v>720</v>
      </c>
    </row>
    <row r="56" spans="2:18" x14ac:dyDescent="0.25">
      <c r="B56" s="4">
        <v>1</v>
      </c>
      <c r="C56" s="4">
        <v>1</v>
      </c>
      <c r="E56">
        <f>(E$54/((E8*E$54)+$H$27))</f>
        <v>4.4665012406947895</v>
      </c>
      <c r="F56">
        <f t="shared" ref="F56:N56" si="29">(F$54/((F8*F$54)+$H$27))</f>
        <v>5.0086956521739134</v>
      </c>
      <c r="G56">
        <f t="shared" si="29"/>
        <v>5.4021608643457384</v>
      </c>
      <c r="H56">
        <f t="shared" si="29"/>
        <v>5.7007125890736345</v>
      </c>
      <c r="I56">
        <f t="shared" si="29"/>
        <v>6.2790697674418618</v>
      </c>
      <c r="J56">
        <f t="shared" si="29"/>
        <v>6.6146072576940744</v>
      </c>
      <c r="K56">
        <f t="shared" si="29"/>
        <v>7.191011235955056</v>
      </c>
      <c r="L56">
        <f t="shared" si="29"/>
        <v>8.3690987124463518</v>
      </c>
      <c r="M56">
        <f t="shared" si="29"/>
        <v>8.8421052631578956</v>
      </c>
      <c r="N56">
        <f t="shared" si="29"/>
        <v>11.829944547134936</v>
      </c>
    </row>
    <row r="57" spans="2:18" x14ac:dyDescent="0.25">
      <c r="B57" s="4">
        <v>1</v>
      </c>
      <c r="C57" s="4">
        <v>2</v>
      </c>
      <c r="E57">
        <f t="shared" ref="E57:F57" si="30">(E$54/((E9*E$54)+$H$27))</f>
        <v>8.4112149532710294</v>
      </c>
      <c r="F57">
        <f t="shared" si="30"/>
        <v>9.4426229508196737</v>
      </c>
      <c r="G57">
        <f t="shared" ref="G57:N66" si="31">(G$54/((G9*G$54)+$H$27))</f>
        <v>10.192525481313703</v>
      </c>
      <c r="H57">
        <f t="shared" si="31"/>
        <v>10.762331838565023</v>
      </c>
      <c r="I57">
        <f t="shared" si="31"/>
        <v>11.86813186813187</v>
      </c>
      <c r="J57">
        <f t="shared" si="31"/>
        <v>12.510860121633362</v>
      </c>
      <c r="K57">
        <f t="shared" si="31"/>
        <v>13.617021276595745</v>
      </c>
      <c r="L57">
        <f t="shared" si="31"/>
        <v>15.885947046843176</v>
      </c>
      <c r="M57">
        <f t="shared" si="31"/>
        <v>16.8</v>
      </c>
      <c r="N57">
        <f t="shared" si="31"/>
        <v>22.614840989399294</v>
      </c>
      <c r="P57" s="4"/>
      <c r="Q57" s="4"/>
      <c r="R57" s="4"/>
    </row>
    <row r="58" spans="2:18" x14ac:dyDescent="0.25">
      <c r="B58" s="4">
        <v>2</v>
      </c>
      <c r="C58" s="4">
        <v>3</v>
      </c>
      <c r="E58">
        <f t="shared" ref="E58:F58" si="32">(E$54/((E10*E$54)+$H$27))</f>
        <v>6.4981949458483763</v>
      </c>
      <c r="F58">
        <f t="shared" si="32"/>
        <v>7.2911392405063298</v>
      </c>
      <c r="G58">
        <f t="shared" si="31"/>
        <v>7.8671328671328675</v>
      </c>
      <c r="H58">
        <f t="shared" si="31"/>
        <v>8.3044982698961949</v>
      </c>
      <c r="I58">
        <f t="shared" si="31"/>
        <v>9.1525423728813564</v>
      </c>
      <c r="J58">
        <f t="shared" si="31"/>
        <v>9.6450100468854654</v>
      </c>
      <c r="K58">
        <f t="shared" si="31"/>
        <v>10.491803278688524</v>
      </c>
      <c r="L58">
        <f t="shared" si="31"/>
        <v>12.225705329153605</v>
      </c>
      <c r="M58">
        <f t="shared" si="31"/>
        <v>12.923076923076923</v>
      </c>
      <c r="N58">
        <f t="shared" si="31"/>
        <v>17.344173441734419</v>
      </c>
    </row>
    <row r="59" spans="2:18" x14ac:dyDescent="0.25">
      <c r="B59" s="4">
        <v>3</v>
      </c>
      <c r="C59" s="4">
        <v>4</v>
      </c>
      <c r="E59">
        <f t="shared" ref="E59:F59" si="33">(E$54/((E11*E$54)+$H$27))</f>
        <v>5.8346839546191243</v>
      </c>
      <c r="F59">
        <f t="shared" si="33"/>
        <v>6.545454545454545</v>
      </c>
      <c r="G59">
        <f t="shared" si="31"/>
        <v>7.0615927814829362</v>
      </c>
      <c r="H59">
        <f t="shared" si="31"/>
        <v>7.4534161490683237</v>
      </c>
      <c r="I59">
        <f t="shared" si="31"/>
        <v>8.2129277566539933</v>
      </c>
      <c r="J59">
        <f t="shared" si="31"/>
        <v>8.6538461538461533</v>
      </c>
      <c r="K59">
        <f t="shared" si="31"/>
        <v>9.4117647058823533</v>
      </c>
      <c r="L59">
        <f t="shared" si="31"/>
        <v>10.962754743499648</v>
      </c>
      <c r="M59">
        <f t="shared" si="31"/>
        <v>11.586206896551724</v>
      </c>
      <c r="N59">
        <f t="shared" si="31"/>
        <v>15.533980582524274</v>
      </c>
    </row>
    <row r="60" spans="2:18" x14ac:dyDescent="0.25">
      <c r="B60" s="4">
        <v>3</v>
      </c>
      <c r="C60" s="4">
        <v>5</v>
      </c>
      <c r="E60">
        <f t="shared" ref="E60:F60" si="34">(E$54/((E12*E$54)+$H$27))</f>
        <v>7.1485305798252581</v>
      </c>
      <c r="F60">
        <f t="shared" si="34"/>
        <v>8.0222841225626738</v>
      </c>
      <c r="G60">
        <f t="shared" si="31"/>
        <v>8.6571758368603309</v>
      </c>
      <c r="H60">
        <f t="shared" si="31"/>
        <v>9.1393754760091408</v>
      </c>
      <c r="I60">
        <f t="shared" si="31"/>
        <v>10.074626865671645</v>
      </c>
      <c r="J60">
        <f t="shared" si="31"/>
        <v>10.617902964164577</v>
      </c>
      <c r="K60">
        <f t="shared" si="31"/>
        <v>11.552346570397113</v>
      </c>
      <c r="L60">
        <f t="shared" si="31"/>
        <v>13.466850828729282</v>
      </c>
      <c r="M60">
        <f t="shared" si="31"/>
        <v>14.237288135593221</v>
      </c>
      <c r="N60">
        <f t="shared" si="31"/>
        <v>19.127316198445911</v>
      </c>
    </row>
    <row r="61" spans="2:18" x14ac:dyDescent="0.25">
      <c r="B61" s="4">
        <v>4</v>
      </c>
      <c r="C61" s="4">
        <v>3</v>
      </c>
      <c r="E61">
        <f t="shared" ref="E61:F61" si="35">(E$54/((E13*E$54)+$H$27))</f>
        <v>3.4026465028355393</v>
      </c>
      <c r="F61">
        <f t="shared" si="35"/>
        <v>3.8145695364238414</v>
      </c>
      <c r="G61">
        <f t="shared" si="31"/>
        <v>4.1133455210237662</v>
      </c>
      <c r="H61">
        <f t="shared" si="31"/>
        <v>4.3399638336347204</v>
      </c>
      <c r="I61">
        <f t="shared" si="31"/>
        <v>4.778761061946903</v>
      </c>
      <c r="J61">
        <f t="shared" si="31"/>
        <v>5.0332051730164276</v>
      </c>
      <c r="K61">
        <f t="shared" si="31"/>
        <v>5.4700854700854702</v>
      </c>
      <c r="L61">
        <f t="shared" si="31"/>
        <v>6.3621533442088092</v>
      </c>
      <c r="M61">
        <f t="shared" si="31"/>
        <v>6.72</v>
      </c>
      <c r="N61">
        <f t="shared" si="31"/>
        <v>8.9761570827489479</v>
      </c>
    </row>
    <row r="62" spans="2:18" x14ac:dyDescent="0.25">
      <c r="B62" s="4">
        <v>5</v>
      </c>
      <c r="C62" s="4">
        <v>7</v>
      </c>
      <c r="E62">
        <f t="shared" ref="E62:F62" si="36">(E$54/((E14*E$54)+$H$27))</f>
        <v>6.101694915254237</v>
      </c>
      <c r="F62">
        <f t="shared" si="36"/>
        <v>6.8455008488964362</v>
      </c>
      <c r="G62">
        <f t="shared" si="31"/>
        <v>7.3856975381008203</v>
      </c>
      <c r="H62">
        <f t="shared" si="31"/>
        <v>7.7958236658932725</v>
      </c>
      <c r="I62">
        <f t="shared" si="31"/>
        <v>8.5909090909090917</v>
      </c>
      <c r="J62">
        <f t="shared" si="31"/>
        <v>9.0525370453524925</v>
      </c>
      <c r="K62">
        <f t="shared" si="31"/>
        <v>9.8461538461538467</v>
      </c>
      <c r="L62">
        <f t="shared" si="31"/>
        <v>11.470588235294118</v>
      </c>
      <c r="M62">
        <f t="shared" si="31"/>
        <v>12.123711340206185</v>
      </c>
      <c r="N62">
        <f t="shared" si="31"/>
        <v>16.261343012704174</v>
      </c>
      <c r="P62" s="4"/>
      <c r="Q62" s="4"/>
      <c r="R62" s="4"/>
    </row>
    <row r="63" spans="2:18" x14ac:dyDescent="0.25">
      <c r="B63" s="4">
        <v>99</v>
      </c>
      <c r="C63" s="4">
        <v>168</v>
      </c>
      <c r="E63">
        <f t="shared" ref="E63:F63" si="37">(E$54/((E15*E$54)+$H$27))</f>
        <v>7.2653884964682147</v>
      </c>
      <c r="F63">
        <f t="shared" si="37"/>
        <v>8.1536905965621855</v>
      </c>
      <c r="G63">
        <f t="shared" si="31"/>
        <v>8.7991899158490163</v>
      </c>
      <c r="H63">
        <f t="shared" si="31"/>
        <v>9.289466408625934</v>
      </c>
      <c r="I63">
        <f t="shared" si="31"/>
        <v>10.240433457500849</v>
      </c>
      <c r="J63">
        <f t="shared" si="31"/>
        <v>10.792868997269661</v>
      </c>
      <c r="K63">
        <f t="shared" si="31"/>
        <v>11.743119266055047</v>
      </c>
      <c r="L63">
        <f t="shared" si="31"/>
        <v>13.690215006581834</v>
      </c>
      <c r="M63">
        <f t="shared" si="31"/>
        <v>14.473846153846155</v>
      </c>
      <c r="N63">
        <f t="shared" si="31"/>
        <v>19.448665074886041</v>
      </c>
    </row>
    <row r="64" spans="2:18" x14ac:dyDescent="0.25">
      <c r="B64" s="4">
        <v>105</v>
      </c>
      <c r="C64" s="4">
        <v>170</v>
      </c>
      <c r="E64">
        <f t="shared" ref="E64:F64" si="38">(E$54/((E16*E$54)+$H$27))</f>
        <v>6.9640418752844786</v>
      </c>
      <c r="F64">
        <f t="shared" si="38"/>
        <v>7.8148443735035915</v>
      </c>
      <c r="G64">
        <f t="shared" si="31"/>
        <v>8.4330044645317752</v>
      </c>
      <c r="H64">
        <f t="shared" si="31"/>
        <v>8.9024656338642831</v>
      </c>
      <c r="I64">
        <f t="shared" si="31"/>
        <v>9.8129342597541438</v>
      </c>
      <c r="J64">
        <f t="shared" si="31"/>
        <v>10.341768408601242</v>
      </c>
      <c r="K64">
        <f t="shared" si="31"/>
        <v>11.251292657704241</v>
      </c>
      <c r="L64">
        <f t="shared" si="31"/>
        <v>13.114429828899219</v>
      </c>
      <c r="M64">
        <f t="shared" si="31"/>
        <v>13.864077669902914</v>
      </c>
      <c r="N64">
        <f t="shared" si="31"/>
        <v>18.62057162416567</v>
      </c>
    </row>
    <row r="65" spans="2:25" x14ac:dyDescent="0.25">
      <c r="B65" s="4">
        <v>112</v>
      </c>
      <c r="C65" s="4">
        <v>67</v>
      </c>
      <c r="E65">
        <f t="shared" ref="E65:F65" si="39">(E$54/((E17*E$54)+$H$27))</f>
        <v>2.7402240349003661</v>
      </c>
      <c r="F65">
        <f t="shared" si="39"/>
        <v>3.0713887783525671</v>
      </c>
      <c r="G65">
        <f t="shared" si="31"/>
        <v>3.3115128616303844</v>
      </c>
      <c r="H65">
        <f t="shared" si="31"/>
        <v>3.4936015816803185</v>
      </c>
      <c r="I65">
        <f t="shared" si="31"/>
        <v>3.8460720739874574</v>
      </c>
      <c r="J65">
        <f t="shared" si="31"/>
        <v>4.0503948379296304</v>
      </c>
      <c r="K65">
        <f t="shared" si="31"/>
        <v>4.4011084881453355</v>
      </c>
      <c r="L65">
        <f t="shared" si="31"/>
        <v>5.1168073315448339</v>
      </c>
      <c r="M65">
        <f t="shared" si="31"/>
        <v>5.4037445991358615</v>
      </c>
      <c r="N65">
        <f t="shared" si="31"/>
        <v>7.2107219129937627</v>
      </c>
    </row>
    <row r="66" spans="2:25" x14ac:dyDescent="0.25">
      <c r="B66" s="4">
        <v>135</v>
      </c>
      <c r="C66" s="4">
        <v>172</v>
      </c>
      <c r="E66">
        <f t="shared" ref="E66:F66" si="40">(E$54/((E18*E$54)+$H$27))</f>
        <v>5.5955178022772447</v>
      </c>
      <c r="F66">
        <f t="shared" si="40"/>
        <v>6.2767359351241776</v>
      </c>
      <c r="G66">
        <f t="shared" si="31"/>
        <v>6.7713573334499797</v>
      </c>
      <c r="H66">
        <f t="shared" si="31"/>
        <v>7.146814404432134</v>
      </c>
      <c r="I66">
        <f t="shared" si="31"/>
        <v>7.8745231030097518</v>
      </c>
      <c r="J66">
        <f t="shared" si="31"/>
        <v>8.2969315288757866</v>
      </c>
      <c r="K66">
        <f t="shared" si="31"/>
        <v>9.0229508196721309</v>
      </c>
      <c r="L66">
        <f t="shared" si="31"/>
        <v>10.508341818751468</v>
      </c>
      <c r="M66">
        <f t="shared" si="31"/>
        <v>11.105303612605688</v>
      </c>
      <c r="N66">
        <f t="shared" si="31"/>
        <v>14.883720930232563</v>
      </c>
    </row>
    <row r="67" spans="2:25" x14ac:dyDescent="0.25">
      <c r="B67" s="4">
        <v>143</v>
      </c>
      <c r="C67" s="4">
        <v>207</v>
      </c>
      <c r="E67">
        <f t="shared" ref="E67:F67" si="41">(E$54/((E19*E$54)+$H$27))</f>
        <v>6.2908372587752623</v>
      </c>
      <c r="F67">
        <f t="shared" si="41"/>
        <v>7.0580713905167825</v>
      </c>
      <c r="G67">
        <f t="shared" ref="G67:N72" si="42">(G$54/((G19*G$54)+$H$27))</f>
        <v>7.6153336766978157</v>
      </c>
      <c r="H67">
        <f t="shared" si="42"/>
        <v>8.0384447356924422</v>
      </c>
      <c r="I67">
        <f t="shared" si="42"/>
        <v>8.8587731811697594</v>
      </c>
      <c r="J67">
        <f t="shared" si="42"/>
        <v>9.3350996364046335</v>
      </c>
      <c r="K67">
        <f t="shared" si="42"/>
        <v>10.154058404230858</v>
      </c>
      <c r="L67">
        <f t="shared" si="42"/>
        <v>11.830651543128461</v>
      </c>
      <c r="M67">
        <f t="shared" si="42"/>
        <v>12.50485436893204</v>
      </c>
      <c r="N67">
        <f t="shared" si="42"/>
        <v>16.777478059344251</v>
      </c>
      <c r="P67" s="4"/>
      <c r="Q67" s="4"/>
      <c r="R67" s="4"/>
    </row>
    <row r="68" spans="2:25" x14ac:dyDescent="0.25">
      <c r="B68" s="4">
        <v>145</v>
      </c>
      <c r="C68" s="4">
        <v>205</v>
      </c>
      <c r="E68">
        <f t="shared" ref="E68:F68" si="43">(E$54/((E20*E$54)+$H$27))</f>
        <v>6.1566697255359966</v>
      </c>
      <c r="F68">
        <f t="shared" si="43"/>
        <v>6.9072828312372048</v>
      </c>
      <c r="G68">
        <f t="shared" si="42"/>
        <v>7.4524376943894657</v>
      </c>
      <c r="H68">
        <f t="shared" si="42"/>
        <v>7.8663362379087074</v>
      </c>
      <c r="I68">
        <f t="shared" si="42"/>
        <v>8.6687548942834791</v>
      </c>
      <c r="J68">
        <f t="shared" si="42"/>
        <v>9.1346525768570235</v>
      </c>
      <c r="K68">
        <f t="shared" si="42"/>
        <v>9.935630443014011</v>
      </c>
      <c r="L68">
        <f t="shared" si="42"/>
        <v>11.575213551469526</v>
      </c>
      <c r="M68">
        <f t="shared" si="42"/>
        <v>12.234458259325045</v>
      </c>
      <c r="N68">
        <f t="shared" si="42"/>
        <v>16.411282756895368</v>
      </c>
    </row>
    <row r="69" spans="2:25" x14ac:dyDescent="0.25">
      <c r="B69" s="4">
        <v>243</v>
      </c>
      <c r="C69" s="4">
        <v>340</v>
      </c>
      <c r="E69">
        <f t="shared" ref="E69:F69" si="44">(E$54/((E21*E$54)+$H$27))</f>
        <v>6.0984116228550942</v>
      </c>
      <c r="F69">
        <f t="shared" si="44"/>
        <v>6.8418110676355512</v>
      </c>
      <c r="G69">
        <f t="shared" si="42"/>
        <v>7.3817116886751046</v>
      </c>
      <c r="H69">
        <f t="shared" si="42"/>
        <v>7.7916125582461238</v>
      </c>
      <c r="I69">
        <f t="shared" si="42"/>
        <v>8.5862601131740171</v>
      </c>
      <c r="J69">
        <f t="shared" si="42"/>
        <v>9.0476331273469146</v>
      </c>
      <c r="K69">
        <f t="shared" si="42"/>
        <v>9.8408104196816222</v>
      </c>
      <c r="L69">
        <f t="shared" si="42"/>
        <v>11.464340368138473</v>
      </c>
      <c r="M69">
        <f t="shared" si="42"/>
        <v>12.117098005939754</v>
      </c>
      <c r="N69">
        <f t="shared" si="42"/>
        <v>16.252390057361378</v>
      </c>
    </row>
    <row r="70" spans="2:25" x14ac:dyDescent="0.25">
      <c r="B70" s="4">
        <v>257</v>
      </c>
      <c r="C70" s="4">
        <v>229</v>
      </c>
      <c r="E70">
        <f t="shared" ref="E70:F70" si="45">(E$54/((E22*E$54)+$H$27))</f>
        <v>4.0069601734210814</v>
      </c>
      <c r="F70">
        <f t="shared" si="45"/>
        <v>4.4927960761606318</v>
      </c>
      <c r="G70">
        <f t="shared" si="42"/>
        <v>4.8452847221895707</v>
      </c>
      <c r="H70">
        <f t="shared" si="42"/>
        <v>5.1127008195577552</v>
      </c>
      <c r="I70">
        <f t="shared" si="42"/>
        <v>5.6306347327201545</v>
      </c>
      <c r="J70">
        <f t="shared" si="42"/>
        <v>5.9310525927671227</v>
      </c>
      <c r="K70">
        <f t="shared" si="42"/>
        <v>6.4470153521312614</v>
      </c>
      <c r="L70">
        <f t="shared" si="42"/>
        <v>7.501133863029346</v>
      </c>
      <c r="M70">
        <f t="shared" si="42"/>
        <v>7.9242018537590111</v>
      </c>
      <c r="N70">
        <f t="shared" si="42"/>
        <v>10.594417979282477</v>
      </c>
    </row>
    <row r="71" spans="2:25" x14ac:dyDescent="0.25">
      <c r="B71" s="4">
        <v>373</v>
      </c>
      <c r="C71" s="4">
        <v>436</v>
      </c>
      <c r="E71">
        <f t="shared" ref="E71:F71" si="46">(E$54/((E23*E$54)+$H$27))</f>
        <v>5.1667610307187912</v>
      </c>
      <c r="F71">
        <f t="shared" si="46"/>
        <v>5.7950895329518186</v>
      </c>
      <c r="G71">
        <f t="shared" si="42"/>
        <v>6.2512147174368113</v>
      </c>
      <c r="H71">
        <f t="shared" si="42"/>
        <v>6.5973973570059536</v>
      </c>
      <c r="I71">
        <f t="shared" si="42"/>
        <v>7.2682369647763423</v>
      </c>
      <c r="J71">
        <f t="shared" si="42"/>
        <v>7.6575565681501061</v>
      </c>
      <c r="K71">
        <f t="shared" si="42"/>
        <v>8.3265695870136067</v>
      </c>
      <c r="L71">
        <f t="shared" si="42"/>
        <v>9.6947996784364268</v>
      </c>
      <c r="M71">
        <f t="shared" si="42"/>
        <v>10.244475524475526</v>
      </c>
      <c r="N71">
        <f t="shared" si="42"/>
        <v>13.720939380826875</v>
      </c>
    </row>
    <row r="72" spans="2:25" x14ac:dyDescent="0.25">
      <c r="B72" s="4">
        <v>752</v>
      </c>
      <c r="C72" s="4">
        <v>1440</v>
      </c>
      <c r="E72">
        <f t="shared" ref="E72:F72" si="47">(E$54/((E24*E$54)+$H$27))</f>
        <v>8.0935251798561154</v>
      </c>
      <c r="F72">
        <f t="shared" si="47"/>
        <v>9.0851735015772874</v>
      </c>
      <c r="G72">
        <f t="shared" si="42"/>
        <v>9.8060579646981907</v>
      </c>
      <c r="H72">
        <f t="shared" si="42"/>
        <v>10.353753235547886</v>
      </c>
      <c r="I72">
        <f t="shared" si="42"/>
        <v>11.41649048625793</v>
      </c>
      <c r="J72">
        <f t="shared" si="42"/>
        <v>12.034096607053318</v>
      </c>
      <c r="K72">
        <f t="shared" si="42"/>
        <v>13.096862210095498</v>
      </c>
      <c r="L72">
        <f t="shared" si="42"/>
        <v>15.276145710928317</v>
      </c>
      <c r="M72">
        <f t="shared" si="42"/>
        <v>16.153846153846153</v>
      </c>
      <c r="N72">
        <f t="shared" si="42"/>
        <v>21.734208738963098</v>
      </c>
      <c r="P72" s="4"/>
      <c r="Q72" s="4"/>
      <c r="R72" s="4"/>
    </row>
    <row r="75" spans="2:25" x14ac:dyDescent="0.25">
      <c r="B75" s="2"/>
      <c r="C75" s="2"/>
      <c r="D75" s="2"/>
      <c r="E75" s="3" t="s">
        <v>28</v>
      </c>
      <c r="F75" s="3"/>
      <c r="G75" s="2"/>
      <c r="H75" s="2"/>
      <c r="I75" s="2"/>
      <c r="J75" s="2"/>
      <c r="K75" s="2"/>
      <c r="L75" s="2"/>
      <c r="M75" s="2"/>
    </row>
    <row r="76" spans="2:25" x14ac:dyDescent="0.25">
      <c r="B76" s="2"/>
      <c r="C76" s="2"/>
      <c r="D76" s="2"/>
      <c r="E76" s="3" t="s">
        <v>18</v>
      </c>
      <c r="F76" s="3"/>
      <c r="G76" s="2"/>
      <c r="H76" s="6">
        <v>0.21</v>
      </c>
      <c r="J76" s="2"/>
      <c r="K76" s="2"/>
      <c r="L76" s="2"/>
      <c r="M76" s="2"/>
    </row>
    <row r="77" spans="2:25" x14ac:dyDescent="0.25">
      <c r="B77" s="2"/>
      <c r="C77" s="2"/>
      <c r="D77" s="2"/>
      <c r="E77" s="3">
        <f>$H76+(E78/E79*0.03)</f>
        <v>0.24</v>
      </c>
      <c r="F77" s="3">
        <f t="shared" ref="F77:N77" si="48">$H76+(F78/F79*0.03)</f>
        <v>0.24428571428571427</v>
      </c>
      <c r="G77" s="3">
        <f t="shared" si="48"/>
        <v>0.2475</v>
      </c>
      <c r="H77" s="3">
        <f t="shared" si="48"/>
        <v>0.25</v>
      </c>
      <c r="I77" s="3">
        <f t="shared" si="48"/>
        <v>0.255</v>
      </c>
      <c r="J77" s="3">
        <f t="shared" si="48"/>
        <v>0.25800000000000001</v>
      </c>
      <c r="K77" s="3">
        <f t="shared" si="48"/>
        <v>0.26333333333333331</v>
      </c>
      <c r="L77" s="3">
        <f t="shared" si="48"/>
        <v>0.27499999999999997</v>
      </c>
      <c r="M77" s="3">
        <f t="shared" si="48"/>
        <v>0.28000000000000003</v>
      </c>
      <c r="N77" s="3">
        <f t="shared" si="48"/>
        <v>0.31666666666666665</v>
      </c>
    </row>
    <row r="78" spans="2:25" x14ac:dyDescent="0.25">
      <c r="B78" s="2"/>
      <c r="C78" s="2"/>
      <c r="D78" s="2"/>
      <c r="E78" s="4">
        <v>1</v>
      </c>
      <c r="F78" s="4">
        <v>8</v>
      </c>
      <c r="G78" s="4">
        <v>5</v>
      </c>
      <c r="H78" s="4">
        <v>4</v>
      </c>
      <c r="I78" s="4">
        <v>3</v>
      </c>
      <c r="J78" s="4">
        <v>16</v>
      </c>
      <c r="K78" s="4">
        <v>16</v>
      </c>
      <c r="L78" s="4">
        <v>19.5</v>
      </c>
      <c r="M78" s="4">
        <v>21</v>
      </c>
      <c r="N78" s="4">
        <v>32</v>
      </c>
      <c r="P78" s="4">
        <v>1</v>
      </c>
      <c r="Q78" s="4">
        <v>8</v>
      </c>
      <c r="R78" s="4">
        <v>5</v>
      </c>
      <c r="S78" s="4">
        <v>4</v>
      </c>
      <c r="T78" s="4">
        <v>3</v>
      </c>
      <c r="U78" s="4">
        <v>16</v>
      </c>
      <c r="V78" s="4">
        <v>16</v>
      </c>
      <c r="W78" s="4">
        <v>19.5</v>
      </c>
      <c r="X78" s="4">
        <v>21</v>
      </c>
      <c r="Y78" s="4">
        <v>32</v>
      </c>
    </row>
    <row r="79" spans="2:25" x14ac:dyDescent="0.25">
      <c r="B79" s="2"/>
      <c r="C79" s="2"/>
      <c r="D79" s="2"/>
      <c r="E79" s="4">
        <v>1</v>
      </c>
      <c r="F79" s="4">
        <v>7</v>
      </c>
      <c r="G79" s="4">
        <v>4</v>
      </c>
      <c r="H79" s="4">
        <v>3</v>
      </c>
      <c r="I79" s="4">
        <v>2</v>
      </c>
      <c r="J79" s="4">
        <v>10</v>
      </c>
      <c r="K79" s="4">
        <v>9</v>
      </c>
      <c r="L79" s="4">
        <v>9</v>
      </c>
      <c r="M79" s="4">
        <v>9</v>
      </c>
      <c r="N79" s="4">
        <v>9</v>
      </c>
      <c r="P79" s="4">
        <v>1</v>
      </c>
      <c r="Q79" s="4">
        <v>7</v>
      </c>
      <c r="R79" s="4">
        <v>4</v>
      </c>
      <c r="S79" s="4">
        <v>3</v>
      </c>
      <c r="T79" s="4">
        <v>2</v>
      </c>
      <c r="U79" s="4">
        <v>10</v>
      </c>
      <c r="V79" s="4">
        <v>9</v>
      </c>
      <c r="W79" s="4">
        <v>9</v>
      </c>
      <c r="X79" s="4">
        <v>9</v>
      </c>
      <c r="Y79" s="4">
        <v>9</v>
      </c>
    </row>
    <row r="80" spans="2:25" x14ac:dyDescent="0.25">
      <c r="D80" s="4" t="s">
        <v>0</v>
      </c>
      <c r="E80" s="4">
        <v>720</v>
      </c>
      <c r="F80">
        <f>F81*F78/F79</f>
        <v>822.85714285714289</v>
      </c>
      <c r="G80" s="4">
        <v>900</v>
      </c>
      <c r="H80" s="4">
        <v>960</v>
      </c>
      <c r="I80" s="4">
        <v>1080</v>
      </c>
      <c r="J80" s="4">
        <v>1152</v>
      </c>
      <c r="K80" s="4">
        <v>1280</v>
      </c>
      <c r="L80" s="4">
        <v>1560</v>
      </c>
      <c r="M80" s="4">
        <v>1680</v>
      </c>
      <c r="N80">
        <f>N81*N78/N79</f>
        <v>2560</v>
      </c>
    </row>
    <row r="81" spans="1:25" x14ac:dyDescent="0.25">
      <c r="B81" s="2" t="s">
        <v>0</v>
      </c>
      <c r="C81" s="2" t="s">
        <v>1</v>
      </c>
      <c r="D81" s="4" t="s">
        <v>1</v>
      </c>
      <c r="E81" s="4">
        <v>720</v>
      </c>
      <c r="F81" s="4">
        <v>720</v>
      </c>
      <c r="G81" s="4">
        <v>720</v>
      </c>
      <c r="H81" s="4">
        <v>720</v>
      </c>
      <c r="I81" s="4">
        <v>720</v>
      </c>
      <c r="J81" s="4">
        <v>720</v>
      </c>
      <c r="K81" s="4">
        <v>720</v>
      </c>
      <c r="L81" s="4">
        <v>720</v>
      </c>
      <c r="M81" s="4">
        <v>720</v>
      </c>
      <c r="N81" s="4">
        <v>720</v>
      </c>
      <c r="P81" s="1"/>
      <c r="R81" t="s">
        <v>16</v>
      </c>
    </row>
    <row r="82" spans="1:25" x14ac:dyDescent="0.25">
      <c r="A82">
        <f>B82/C82</f>
        <v>1</v>
      </c>
      <c r="B82" s="4">
        <v>1</v>
      </c>
      <c r="C82" s="4">
        <v>1</v>
      </c>
      <c r="E82">
        <f>E$77*E$81*$B82/$C82/E$80</f>
        <v>0.23999999999999996</v>
      </c>
      <c r="F82">
        <f t="shared" ref="F82:N97" si="49">F$77*F$81*$B82/$C82/F$80</f>
        <v>0.21374999999999997</v>
      </c>
      <c r="G82">
        <f t="shared" si="49"/>
        <v>0.19799999999999998</v>
      </c>
      <c r="H82">
        <f t="shared" si="49"/>
        <v>0.1875</v>
      </c>
      <c r="I82">
        <f t="shared" si="49"/>
        <v>0.16999999999999998</v>
      </c>
      <c r="J82">
        <f t="shared" si="49"/>
        <v>0.16125</v>
      </c>
      <c r="K82">
        <f t="shared" si="49"/>
        <v>0.14812500000000001</v>
      </c>
      <c r="L82">
        <f t="shared" si="49"/>
        <v>0.12692307692307692</v>
      </c>
      <c r="M82">
        <f t="shared" si="49"/>
        <v>0.12000000000000001</v>
      </c>
      <c r="N82">
        <f t="shared" si="49"/>
        <v>8.9062500000000003E-2</v>
      </c>
      <c r="P82" t="str">
        <f ca="1">"&lt;itemSize&gt;"&amp;(OFFSET(E$82,(MATCH($P$7,$AG$3:$AG$19,0)-1),0))&amp;" "&amp;E77&amp;"&lt;/itemSize&gt;"</f>
        <v>&lt;itemSize&gt;0.125333333333333 0.24&lt;/itemSize&gt;</v>
      </c>
      <c r="Q82" t="str">
        <f t="shared" ref="Q82:Y82" ca="1" si="50">"&lt;itemSize&gt;"&amp;(OFFSET(F$82,(MATCH($P$7,$AG$3:$AG$19,0)-1),0))&amp;" "&amp;F77&amp;"&lt;/itemSize&gt;"</f>
        <v>&lt;itemSize&gt;0.111625 0.244285714285714&lt;/itemSize&gt;</v>
      </c>
      <c r="R82" t="str">
        <f t="shared" ca="1" si="50"/>
        <v>&lt;itemSize&gt;0.1034 0.2475&lt;/itemSize&gt;</v>
      </c>
      <c r="S82" t="str">
        <f t="shared" ca="1" si="50"/>
        <v>&lt;itemSize&gt;0.0979166666666667 0.25&lt;/itemSize&gt;</v>
      </c>
      <c r="T82" t="str">
        <f t="shared" ca="1" si="50"/>
        <v>&lt;itemSize&gt;0.0887777777777778 0.255&lt;/itemSize&gt;</v>
      </c>
      <c r="U82" t="str">
        <f t="shared" ca="1" si="50"/>
        <v>&lt;itemSize&gt;0.0842083333333333 0.258&lt;/itemSize&gt;</v>
      </c>
      <c r="V82" t="str">
        <f t="shared" ca="1" si="50"/>
        <v>&lt;itemSize&gt;0.0773541666666667 0.263333333333333&lt;/itemSize&gt;</v>
      </c>
      <c r="W82" t="str">
        <f t="shared" ca="1" si="50"/>
        <v>&lt;itemSize&gt;0.0662820512820513 0.275&lt;/itemSize&gt;</v>
      </c>
      <c r="X82" t="str">
        <f t="shared" ca="1" si="50"/>
        <v>&lt;itemSize&gt;0.0626666666666667 0.28&lt;/itemSize&gt;</v>
      </c>
      <c r="Y82" t="str">
        <f t="shared" ca="1" si="50"/>
        <v>&lt;itemSize&gt;0.0465104166666667 0.316666666666667&lt;/itemSize&gt;</v>
      </c>
    </row>
    <row r="83" spans="1:25" x14ac:dyDescent="0.25">
      <c r="A83">
        <f t="shared" ref="A83:A98" si="51">B83/C83</f>
        <v>0.5</v>
      </c>
      <c r="B83" s="4">
        <v>1</v>
      </c>
      <c r="C83" s="4">
        <v>2</v>
      </c>
      <c r="E83">
        <f t="shared" ref="E83:N98" si="52">E$77*E$81*$B83/$C83/E$80</f>
        <v>0.11999999999999998</v>
      </c>
      <c r="F83">
        <f t="shared" si="49"/>
        <v>0.10687499999999998</v>
      </c>
      <c r="G83">
        <f t="shared" si="49"/>
        <v>9.8999999999999991E-2</v>
      </c>
      <c r="H83">
        <f t="shared" si="49"/>
        <v>9.375E-2</v>
      </c>
      <c r="I83">
        <f t="shared" si="49"/>
        <v>8.4999999999999992E-2</v>
      </c>
      <c r="J83">
        <f t="shared" si="49"/>
        <v>8.0625000000000002E-2</v>
      </c>
      <c r="K83">
        <f t="shared" si="49"/>
        <v>7.4062500000000003E-2</v>
      </c>
      <c r="L83">
        <f t="shared" si="49"/>
        <v>6.3461538461538458E-2</v>
      </c>
      <c r="M83">
        <f t="shared" si="49"/>
        <v>6.0000000000000005E-2</v>
      </c>
      <c r="N83">
        <f t="shared" si="49"/>
        <v>4.4531250000000001E-2</v>
      </c>
      <c r="P83" t="str">
        <f ca="1">"&lt;selectedItemMargins&gt;"&amp;(OFFSET(E$105,(MATCH($P$7,$AG$3:$AG$19,0)-1),0))&amp;" "&amp;(OFFSET(E$105,(MATCH($P$7,$AG$3:$AG$19,0)-1),0))&amp;"&lt;/selectedItemMargins&gt;"</f>
        <v>&lt;selectedItemMargins&gt;0.0250666666666667 0.0250666666666667&lt;/selectedItemMargins&gt;</v>
      </c>
      <c r="Q83" t="str">
        <f t="shared" ref="Q83:Y83" ca="1" si="53">"&lt;selectedItemMargins&gt;"&amp;(OFFSET(F$105,(MATCH($P$7,$AG$3:$AG$19,0)-1),0))&amp;" "&amp;(OFFSET(F$105,(MATCH($P$7,$AG$3:$AG$19,0)-1),0))&amp;"&lt;/selectedItemMargins&gt;"</f>
        <v>&lt;selectedItemMargins&gt;0.022325 0.022325&lt;/selectedItemMargins&gt;</v>
      </c>
      <c r="R83" t="str">
        <f t="shared" ca="1" si="53"/>
        <v>&lt;selectedItemMargins&gt;0.02068 0.02068&lt;/selectedItemMargins&gt;</v>
      </c>
      <c r="S83" t="str">
        <f t="shared" ca="1" si="53"/>
        <v>&lt;selectedItemMargins&gt;0.0195833333333333 0.0195833333333333&lt;/selectedItemMargins&gt;</v>
      </c>
      <c r="T83" t="str">
        <f t="shared" ca="1" si="53"/>
        <v>&lt;selectedItemMargins&gt;0.0177555555555555 0.0177555555555555&lt;/selectedItemMargins&gt;</v>
      </c>
      <c r="U83" t="str">
        <f t="shared" ca="1" si="53"/>
        <v>&lt;selectedItemMargins&gt;0.0168416666666667 0.0168416666666667&lt;/selectedItemMargins&gt;</v>
      </c>
      <c r="V83" t="str">
        <f t="shared" ca="1" si="53"/>
        <v>&lt;selectedItemMargins&gt;0.0154708333333333 0.0154708333333333&lt;/selectedItemMargins&gt;</v>
      </c>
      <c r="W83" t="str">
        <f t="shared" ca="1" si="53"/>
        <v>&lt;selectedItemMargins&gt;0.0132564102564103 0.0132564102564103&lt;/selectedItemMargins&gt;</v>
      </c>
      <c r="X83" t="str">
        <f t="shared" ca="1" si="53"/>
        <v>&lt;selectedItemMargins&gt;0.0125333333333333 0.0125333333333333&lt;/selectedItemMargins&gt;</v>
      </c>
      <c r="Y83" t="str">
        <f t="shared" ca="1" si="53"/>
        <v>&lt;selectedItemMargins&gt;0.00930208333333333 0.00930208333333333&lt;/selectedItemMargins&gt;</v>
      </c>
    </row>
    <row r="84" spans="1:25" x14ac:dyDescent="0.25">
      <c r="A84">
        <f t="shared" si="51"/>
        <v>0.66666666666666663</v>
      </c>
      <c r="B84" s="4">
        <v>2</v>
      </c>
      <c r="C84" s="4">
        <v>3</v>
      </c>
      <c r="E84">
        <f t="shared" si="52"/>
        <v>0.15999999999999998</v>
      </c>
      <c r="F84">
        <f t="shared" si="49"/>
        <v>0.14249999999999999</v>
      </c>
      <c r="G84">
        <f t="shared" si="49"/>
        <v>0.13200000000000001</v>
      </c>
      <c r="H84">
        <f t="shared" si="49"/>
        <v>0.125</v>
      </c>
      <c r="I84">
        <f t="shared" si="49"/>
        <v>0.11333333333333333</v>
      </c>
      <c r="J84">
        <f t="shared" si="49"/>
        <v>0.10749999999999998</v>
      </c>
      <c r="K84">
        <f t="shared" si="49"/>
        <v>9.8749999999999991E-2</v>
      </c>
      <c r="L84">
        <f t="shared" si="49"/>
        <v>8.4615384615384592E-2</v>
      </c>
      <c r="M84">
        <f t="shared" si="49"/>
        <v>0.08</v>
      </c>
      <c r="N84">
        <f t="shared" si="49"/>
        <v>5.9374999999999997E-2</v>
      </c>
      <c r="P84" t="str">
        <f ca="1">"&lt;maxItemCount&gt;"&amp;(OFFSET(E$129,(MATCH($P$7,$AG$3:$AG$19,0)-1),0))&amp;"&lt;/maxItemCount&gt;"</f>
        <v>&lt;maxItemCount&gt;7.18276137270551&lt;/maxItemCount&gt;</v>
      </c>
      <c r="Q84" t="str">
        <f t="shared" ref="Q84:Y84" ca="1" si="54">"&lt;maxItemCount&gt;"&amp;(OFFSET(F$129,(MATCH($P$7,$AG$3:$AG$19,0)-1),0))&amp;"&lt;/maxItemCount&gt;"</f>
        <v>&lt;maxItemCount&gt;8.07899461400359&lt;/maxItemCount&gt;</v>
      </c>
      <c r="R84" t="str">
        <f t="shared" ca="1" si="54"/>
        <v>&lt;maxItemCount&gt;8.73277702309334&lt;/maxItemCount&gt;</v>
      </c>
      <c r="S84" t="str">
        <f t="shared" ca="1" si="54"/>
        <v>&lt;maxItemCount&gt;9.23076923076923&lt;/maxItemCount&gt;</v>
      </c>
      <c r="T84" t="str">
        <f t="shared" ca="1" si="54"/>
        <v>&lt;maxItemCount&gt;10.2002266717038&lt;/maxItemCount&gt;</v>
      </c>
      <c r="U84" t="str">
        <f t="shared" ca="1" si="54"/>
        <v>&lt;maxItemCount&gt;10.7655502392345&lt;/maxItemCount&gt;</v>
      </c>
      <c r="V84" t="str">
        <f t="shared" ca="1" si="54"/>
        <v>&lt;maxItemCount&gt;11.7416829745597&lt;/maxItemCount&gt;</v>
      </c>
      <c r="W84" t="str">
        <f t="shared" ca="1" si="54"/>
        <v>&lt;maxItemCount&gt;13.7566137566138&lt;/maxItemCount&gt;</v>
      </c>
      <c r="X84" t="str">
        <f t="shared" ca="1" si="54"/>
        <v>&lt;maxItemCount&gt;14.5732130464955&lt;/maxItemCount&gt;</v>
      </c>
      <c r="Y84" t="str">
        <f t="shared" ca="1" si="54"/>
        <v>&lt;maxItemCount&gt;19.8347107438017&lt;/maxItemCount&gt;</v>
      </c>
    </row>
    <row r="85" spans="1:25" x14ac:dyDescent="0.25">
      <c r="A85">
        <f t="shared" si="51"/>
        <v>0.75</v>
      </c>
      <c r="B85" s="4">
        <v>3</v>
      </c>
      <c r="C85" s="4">
        <v>4</v>
      </c>
      <c r="E85">
        <f t="shared" si="52"/>
        <v>0.18</v>
      </c>
      <c r="F85">
        <f t="shared" si="49"/>
        <v>0.1603125</v>
      </c>
      <c r="G85">
        <f t="shared" si="49"/>
        <v>0.14849999999999997</v>
      </c>
      <c r="H85">
        <f t="shared" si="49"/>
        <v>0.140625</v>
      </c>
      <c r="I85">
        <f t="shared" si="49"/>
        <v>0.1275</v>
      </c>
      <c r="J85">
        <f t="shared" si="49"/>
        <v>0.12093749999999999</v>
      </c>
      <c r="K85">
        <f t="shared" si="49"/>
        <v>0.11109374999999999</v>
      </c>
      <c r="L85">
        <f t="shared" si="49"/>
        <v>9.5192307692307673E-2</v>
      </c>
      <c r="M85">
        <f t="shared" si="49"/>
        <v>9.0000000000000011E-2</v>
      </c>
      <c r="N85">
        <f t="shared" si="49"/>
        <v>6.6796875000000006E-2</v>
      </c>
    </row>
    <row r="86" spans="1:25" x14ac:dyDescent="0.25">
      <c r="A86">
        <f t="shared" si="51"/>
        <v>0.6</v>
      </c>
      <c r="B86" s="4">
        <v>3</v>
      </c>
      <c r="C86" s="4">
        <v>5</v>
      </c>
      <c r="E86">
        <f t="shared" si="52"/>
        <v>0.14399999999999999</v>
      </c>
      <c r="F86">
        <f t="shared" si="49"/>
        <v>0.12824999999999998</v>
      </c>
      <c r="G86">
        <f t="shared" si="49"/>
        <v>0.11879999999999999</v>
      </c>
      <c r="H86">
        <f t="shared" si="49"/>
        <v>0.1125</v>
      </c>
      <c r="I86">
        <f t="shared" si="49"/>
        <v>0.10199999999999999</v>
      </c>
      <c r="J86">
        <f t="shared" si="49"/>
        <v>9.6749999999999989E-2</v>
      </c>
      <c r="K86">
        <f t="shared" si="49"/>
        <v>8.8874999999999996E-2</v>
      </c>
      <c r="L86">
        <f t="shared" si="49"/>
        <v>7.6153846153846141E-2</v>
      </c>
      <c r="M86">
        <f t="shared" si="49"/>
        <v>7.2000000000000008E-2</v>
      </c>
      <c r="N86">
        <f t="shared" si="49"/>
        <v>5.3437500000000006E-2</v>
      </c>
    </row>
    <row r="87" spans="1:25" x14ac:dyDescent="0.25">
      <c r="A87">
        <f t="shared" si="51"/>
        <v>1.3333333333333333</v>
      </c>
      <c r="B87" s="4">
        <v>4</v>
      </c>
      <c r="C87" s="4">
        <v>3</v>
      </c>
      <c r="E87">
        <f t="shared" si="52"/>
        <v>0.31999999999999995</v>
      </c>
      <c r="F87">
        <f t="shared" si="49"/>
        <v>0.28499999999999998</v>
      </c>
      <c r="G87">
        <f t="shared" si="49"/>
        <v>0.26400000000000001</v>
      </c>
      <c r="H87">
        <f t="shared" si="49"/>
        <v>0.25</v>
      </c>
      <c r="I87">
        <f t="shared" si="49"/>
        <v>0.22666666666666666</v>
      </c>
      <c r="J87">
        <f t="shared" si="49"/>
        <v>0.21499999999999997</v>
      </c>
      <c r="K87">
        <f t="shared" si="49"/>
        <v>0.19749999999999998</v>
      </c>
      <c r="L87">
        <f t="shared" si="49"/>
        <v>0.16923076923076918</v>
      </c>
      <c r="M87">
        <f t="shared" si="49"/>
        <v>0.16</v>
      </c>
      <c r="N87">
        <f t="shared" si="49"/>
        <v>0.11874999999999999</v>
      </c>
    </row>
    <row r="88" spans="1:25" x14ac:dyDescent="0.25">
      <c r="A88">
        <f t="shared" si="51"/>
        <v>0.7142857142857143</v>
      </c>
      <c r="B88" s="4">
        <v>5</v>
      </c>
      <c r="C88" s="4">
        <v>7</v>
      </c>
      <c r="E88">
        <f t="shared" si="52"/>
        <v>0.1714285714285714</v>
      </c>
      <c r="F88">
        <f t="shared" si="49"/>
        <v>0.15267857142857141</v>
      </c>
      <c r="G88">
        <f t="shared" si="49"/>
        <v>0.14142857142857143</v>
      </c>
      <c r="H88">
        <f t="shared" si="49"/>
        <v>0.13392857142857145</v>
      </c>
      <c r="I88">
        <f t="shared" si="49"/>
        <v>0.12142857142857143</v>
      </c>
      <c r="J88">
        <f t="shared" si="49"/>
        <v>0.11517857142857142</v>
      </c>
      <c r="K88">
        <f t="shared" si="49"/>
        <v>0.10580357142857141</v>
      </c>
      <c r="L88">
        <f t="shared" si="49"/>
        <v>9.0659340659340656E-2</v>
      </c>
      <c r="M88">
        <f t="shared" si="49"/>
        <v>8.5714285714285729E-2</v>
      </c>
      <c r="N88">
        <f t="shared" si="49"/>
        <v>6.3616071428571425E-2</v>
      </c>
    </row>
    <row r="89" spans="1:25" x14ac:dyDescent="0.25">
      <c r="A89">
        <f t="shared" si="51"/>
        <v>0.5892857142857143</v>
      </c>
      <c r="B89" s="4">
        <v>99</v>
      </c>
      <c r="C89" s="4">
        <v>168</v>
      </c>
      <c r="E89">
        <f t="shared" si="52"/>
        <v>0.1414285714285714</v>
      </c>
      <c r="F89">
        <f t="shared" si="49"/>
        <v>0.1259598214285714</v>
      </c>
      <c r="G89">
        <f t="shared" si="49"/>
        <v>0.11667857142857142</v>
      </c>
      <c r="H89">
        <f t="shared" si="49"/>
        <v>0.11049107142857142</v>
      </c>
      <c r="I89">
        <f t="shared" si="49"/>
        <v>0.10017857142857142</v>
      </c>
      <c r="J89">
        <f t="shared" si="49"/>
        <v>9.5022321428571421E-2</v>
      </c>
      <c r="K89">
        <f t="shared" si="49"/>
        <v>8.728794642857142E-2</v>
      </c>
      <c r="L89">
        <f t="shared" si="49"/>
        <v>7.4793956043956028E-2</v>
      </c>
      <c r="M89">
        <f t="shared" si="49"/>
        <v>7.0714285714285716E-2</v>
      </c>
      <c r="N89">
        <f t="shared" si="49"/>
        <v>5.2483258928571433E-2</v>
      </c>
    </row>
    <row r="90" spans="1:25" x14ac:dyDescent="0.25">
      <c r="A90">
        <f t="shared" si="51"/>
        <v>0.61764705882352944</v>
      </c>
      <c r="B90" s="4">
        <v>105</v>
      </c>
      <c r="C90" s="4">
        <v>170</v>
      </c>
      <c r="E90">
        <f t="shared" si="52"/>
        <v>0.14823529411764708</v>
      </c>
      <c r="F90">
        <f t="shared" si="49"/>
        <v>0.13202205882352941</v>
      </c>
      <c r="G90">
        <f t="shared" si="49"/>
        <v>0.12229411764705882</v>
      </c>
      <c r="H90">
        <f t="shared" si="49"/>
        <v>0.11580882352941176</v>
      </c>
      <c r="I90">
        <f t="shared" si="49"/>
        <v>0.10500000000000001</v>
      </c>
      <c r="J90">
        <f t="shared" si="49"/>
        <v>9.9595588235294116E-2</v>
      </c>
      <c r="K90">
        <f t="shared" si="49"/>
        <v>9.1488970588235297E-2</v>
      </c>
      <c r="L90">
        <f t="shared" si="49"/>
        <v>7.8393665158371026E-2</v>
      </c>
      <c r="M90">
        <f t="shared" si="49"/>
        <v>7.4117647058823552E-2</v>
      </c>
      <c r="N90">
        <f t="shared" si="49"/>
        <v>5.5009191176470587E-2</v>
      </c>
    </row>
    <row r="91" spans="1:25" x14ac:dyDescent="0.25">
      <c r="A91">
        <f t="shared" si="51"/>
        <v>1.6716417910447761</v>
      </c>
      <c r="B91" s="4">
        <v>112</v>
      </c>
      <c r="C91" s="4">
        <v>67</v>
      </c>
      <c r="E91">
        <f t="shared" si="52"/>
        <v>0.4011940298507462</v>
      </c>
      <c r="F91">
        <f t="shared" si="49"/>
        <v>0.35731343283582084</v>
      </c>
      <c r="G91">
        <f t="shared" si="49"/>
        <v>0.33098507462686566</v>
      </c>
      <c r="H91">
        <f t="shared" si="49"/>
        <v>0.31343283582089554</v>
      </c>
      <c r="I91">
        <f t="shared" si="49"/>
        <v>0.28417910447761197</v>
      </c>
      <c r="J91">
        <f t="shared" si="49"/>
        <v>0.26955223880597012</v>
      </c>
      <c r="K91">
        <f t="shared" si="49"/>
        <v>0.24761194029850747</v>
      </c>
      <c r="L91">
        <f t="shared" si="49"/>
        <v>0.21216991963260617</v>
      </c>
      <c r="M91">
        <f t="shared" si="49"/>
        <v>0.20059701492537316</v>
      </c>
      <c r="N91">
        <f t="shared" si="49"/>
        <v>0.14888059701492537</v>
      </c>
    </row>
    <row r="92" spans="1:25" x14ac:dyDescent="0.25">
      <c r="A92">
        <f t="shared" si="51"/>
        <v>0.78488372093023251</v>
      </c>
      <c r="B92" s="4">
        <v>135</v>
      </c>
      <c r="C92" s="4">
        <v>172</v>
      </c>
      <c r="E92">
        <f t="shared" si="52"/>
        <v>0.18837209302325578</v>
      </c>
      <c r="F92">
        <f t="shared" si="49"/>
        <v>0.16776889534883718</v>
      </c>
      <c r="G92">
        <f t="shared" si="49"/>
        <v>0.15540697674418605</v>
      </c>
      <c r="H92">
        <f t="shared" si="49"/>
        <v>0.14716569767441859</v>
      </c>
      <c r="I92">
        <f t="shared" si="49"/>
        <v>0.13343023255813954</v>
      </c>
      <c r="J92">
        <f t="shared" si="49"/>
        <v>0.12656249999999999</v>
      </c>
      <c r="K92">
        <f t="shared" si="49"/>
        <v>0.11626090116279071</v>
      </c>
      <c r="L92">
        <f t="shared" si="49"/>
        <v>9.9619856887298741E-2</v>
      </c>
      <c r="M92">
        <f t="shared" si="49"/>
        <v>9.418604651162793E-2</v>
      </c>
      <c r="N92">
        <f t="shared" si="49"/>
        <v>6.9903706395348847E-2</v>
      </c>
    </row>
    <row r="93" spans="1:25" x14ac:dyDescent="0.25">
      <c r="A93">
        <f t="shared" si="51"/>
        <v>0.6908212560386473</v>
      </c>
      <c r="B93" s="4">
        <v>143</v>
      </c>
      <c r="C93" s="4">
        <v>207</v>
      </c>
      <c r="E93">
        <f t="shared" si="52"/>
        <v>0.16579710144927534</v>
      </c>
      <c r="F93">
        <f t="shared" si="49"/>
        <v>0.14766304347826084</v>
      </c>
      <c r="G93">
        <f t="shared" si="49"/>
        <v>0.13678260869565217</v>
      </c>
      <c r="H93">
        <f t="shared" si="49"/>
        <v>0.12952898550724637</v>
      </c>
      <c r="I93">
        <f t="shared" si="49"/>
        <v>0.11743961352657005</v>
      </c>
      <c r="J93">
        <f t="shared" si="49"/>
        <v>0.11139492753623188</v>
      </c>
      <c r="K93">
        <f t="shared" si="49"/>
        <v>0.10232789855072463</v>
      </c>
      <c r="L93">
        <f t="shared" si="49"/>
        <v>8.7681159420289839E-2</v>
      </c>
      <c r="M93">
        <f t="shared" si="49"/>
        <v>8.2898550724637685E-2</v>
      </c>
      <c r="N93">
        <f t="shared" si="49"/>
        <v>6.1526268115942029E-2</v>
      </c>
    </row>
    <row r="94" spans="1:25" x14ac:dyDescent="0.25">
      <c r="A94">
        <f t="shared" si="51"/>
        <v>0.70731707317073167</v>
      </c>
      <c r="B94" s="4">
        <v>145</v>
      </c>
      <c r="C94" s="4">
        <v>205</v>
      </c>
      <c r="E94">
        <f t="shared" si="52"/>
        <v>0.16975609756097559</v>
      </c>
      <c r="F94">
        <f t="shared" si="49"/>
        <v>0.15118902439024387</v>
      </c>
      <c r="G94">
        <f t="shared" si="49"/>
        <v>0.14004878048780489</v>
      </c>
      <c r="H94">
        <f t="shared" si="49"/>
        <v>0.1326219512195122</v>
      </c>
      <c r="I94">
        <f t="shared" si="49"/>
        <v>0.1202439024390244</v>
      </c>
      <c r="J94">
        <f t="shared" si="49"/>
        <v>0.11405487804878048</v>
      </c>
      <c r="K94">
        <f t="shared" si="49"/>
        <v>0.10477134146341463</v>
      </c>
      <c r="L94">
        <f t="shared" si="49"/>
        <v>8.9774859287054393E-2</v>
      </c>
      <c r="M94">
        <f t="shared" si="49"/>
        <v>8.4878048780487825E-2</v>
      </c>
      <c r="N94">
        <f t="shared" si="49"/>
        <v>6.29954268292683E-2</v>
      </c>
    </row>
    <row r="95" spans="1:25" x14ac:dyDescent="0.25">
      <c r="A95">
        <f t="shared" si="51"/>
        <v>0.71470588235294119</v>
      </c>
      <c r="B95" s="4">
        <v>243</v>
      </c>
      <c r="C95" s="4">
        <v>340</v>
      </c>
      <c r="E95">
        <f t="shared" si="52"/>
        <v>0.17152941176470587</v>
      </c>
      <c r="F95">
        <f t="shared" si="49"/>
        <v>0.15276838235294116</v>
      </c>
      <c r="G95">
        <f t="shared" si="49"/>
        <v>0.14151176470588236</v>
      </c>
      <c r="H95">
        <f t="shared" si="49"/>
        <v>0.13400735294117647</v>
      </c>
      <c r="I95">
        <f t="shared" si="49"/>
        <v>0.1215</v>
      </c>
      <c r="J95">
        <f t="shared" si="49"/>
        <v>0.11524632352941176</v>
      </c>
      <c r="K95">
        <f t="shared" si="49"/>
        <v>0.1058658088235294</v>
      </c>
      <c r="L95">
        <f t="shared" si="49"/>
        <v>9.0712669683257918E-2</v>
      </c>
      <c r="M95">
        <f t="shared" si="49"/>
        <v>8.5764705882352951E-2</v>
      </c>
      <c r="N95">
        <f t="shared" si="49"/>
        <v>6.3653492647058815E-2</v>
      </c>
    </row>
    <row r="96" spans="1:25" x14ac:dyDescent="0.25">
      <c r="A96">
        <f t="shared" si="51"/>
        <v>1.1222707423580787</v>
      </c>
      <c r="B96" s="4">
        <v>257</v>
      </c>
      <c r="C96" s="4">
        <v>229</v>
      </c>
      <c r="E96">
        <f t="shared" si="52"/>
        <v>0.26934497816593883</v>
      </c>
      <c r="F96">
        <f t="shared" si="49"/>
        <v>0.23988537117903927</v>
      </c>
      <c r="G96">
        <f t="shared" si="49"/>
        <v>0.22220960698689954</v>
      </c>
      <c r="H96">
        <f t="shared" si="49"/>
        <v>0.21042576419213974</v>
      </c>
      <c r="I96">
        <f t="shared" si="49"/>
        <v>0.19078602620087334</v>
      </c>
      <c r="J96">
        <f t="shared" si="49"/>
        <v>0.18096615720524017</v>
      </c>
      <c r="K96">
        <f t="shared" si="49"/>
        <v>0.16623635371179038</v>
      </c>
      <c r="L96">
        <f t="shared" si="49"/>
        <v>0.14244205576083302</v>
      </c>
      <c r="M96">
        <f t="shared" si="49"/>
        <v>0.13467248908296944</v>
      </c>
      <c r="N96">
        <f t="shared" si="49"/>
        <v>9.9952237991266374E-2</v>
      </c>
    </row>
    <row r="97" spans="1:14" x14ac:dyDescent="0.25">
      <c r="A97">
        <f t="shared" si="51"/>
        <v>0.85550458715596334</v>
      </c>
      <c r="B97" s="4">
        <v>373</v>
      </c>
      <c r="C97" s="4">
        <v>436</v>
      </c>
      <c r="E97">
        <f t="shared" si="52"/>
        <v>0.20532110091743117</v>
      </c>
      <c r="F97">
        <f t="shared" si="49"/>
        <v>0.18286410550458715</v>
      </c>
      <c r="G97">
        <f t="shared" si="49"/>
        <v>0.16938990825688072</v>
      </c>
      <c r="H97">
        <f t="shared" si="49"/>
        <v>0.1604071100917431</v>
      </c>
      <c r="I97">
        <f t="shared" si="49"/>
        <v>0.14543577981651376</v>
      </c>
      <c r="J97">
        <f t="shared" si="49"/>
        <v>0.13795011467889909</v>
      </c>
      <c r="K97">
        <f t="shared" si="49"/>
        <v>0.12672161697247708</v>
      </c>
      <c r="L97">
        <f t="shared" si="49"/>
        <v>0.10858327452364147</v>
      </c>
      <c r="M97">
        <f t="shared" si="49"/>
        <v>0.10266055045871561</v>
      </c>
      <c r="N97">
        <f t="shared" si="49"/>
        <v>7.6193377293577974E-2</v>
      </c>
    </row>
    <row r="98" spans="1:14" x14ac:dyDescent="0.25">
      <c r="A98">
        <f t="shared" si="51"/>
        <v>0.52222222222222225</v>
      </c>
      <c r="B98" s="4">
        <v>752</v>
      </c>
      <c r="C98" s="4">
        <v>1440</v>
      </c>
      <c r="E98">
        <f t="shared" si="52"/>
        <v>0.12533333333333332</v>
      </c>
      <c r="F98">
        <f t="shared" si="52"/>
        <v>0.11162499999999999</v>
      </c>
      <c r="G98">
        <f t="shared" si="52"/>
        <v>0.10340000000000001</v>
      </c>
      <c r="H98">
        <f t="shared" si="52"/>
        <v>9.7916666666666666E-2</v>
      </c>
      <c r="I98">
        <f t="shared" si="52"/>
        <v>8.8777777777777761E-2</v>
      </c>
      <c r="J98">
        <f t="shared" si="52"/>
        <v>8.4208333333333329E-2</v>
      </c>
      <c r="K98">
        <f t="shared" si="52"/>
        <v>7.7354166666666654E-2</v>
      </c>
      <c r="L98">
        <f t="shared" si="52"/>
        <v>6.6282051282051266E-2</v>
      </c>
      <c r="M98">
        <f t="shared" si="52"/>
        <v>6.2666666666666662E-2</v>
      </c>
      <c r="N98">
        <f t="shared" si="52"/>
        <v>4.6510416666666665E-2</v>
      </c>
    </row>
    <row r="101" spans="1:14" x14ac:dyDescent="0.25">
      <c r="E101" s="4">
        <v>1</v>
      </c>
      <c r="F101" s="4">
        <v>8</v>
      </c>
      <c r="G101" s="4">
        <v>5</v>
      </c>
      <c r="H101" s="4">
        <v>4</v>
      </c>
      <c r="I101" s="4">
        <v>3</v>
      </c>
      <c r="J101" s="4">
        <v>16</v>
      </c>
      <c r="K101" s="4">
        <v>16</v>
      </c>
      <c r="L101" s="4">
        <v>19.5</v>
      </c>
      <c r="M101" s="4">
        <v>21</v>
      </c>
      <c r="N101" s="4">
        <v>32</v>
      </c>
    </row>
    <row r="102" spans="1:14" x14ac:dyDescent="0.25">
      <c r="E102" s="4">
        <v>1</v>
      </c>
      <c r="F102" s="4">
        <v>7</v>
      </c>
      <c r="G102" s="4">
        <v>4</v>
      </c>
      <c r="H102" s="4">
        <v>3</v>
      </c>
      <c r="I102" s="4">
        <v>2</v>
      </c>
      <c r="J102" s="4">
        <v>10</v>
      </c>
      <c r="K102" s="4">
        <v>9</v>
      </c>
      <c r="L102" s="4">
        <v>9</v>
      </c>
      <c r="M102" s="4">
        <v>9</v>
      </c>
      <c r="N102" s="4">
        <v>9</v>
      </c>
    </row>
    <row r="103" spans="1:14" x14ac:dyDescent="0.25">
      <c r="B103" s="2"/>
      <c r="C103" s="2"/>
      <c r="D103" s="4" t="s">
        <v>0</v>
      </c>
      <c r="E103" s="4">
        <v>720</v>
      </c>
      <c r="F103">
        <f>F104*F101/F102</f>
        <v>822.85714285714289</v>
      </c>
      <c r="G103" s="4">
        <v>900</v>
      </c>
      <c r="H103" s="4">
        <v>960</v>
      </c>
      <c r="I103" s="4">
        <v>1080</v>
      </c>
      <c r="J103" s="4">
        <v>1152</v>
      </c>
      <c r="K103" s="4">
        <v>1280</v>
      </c>
      <c r="L103" s="4">
        <v>1560</v>
      </c>
      <c r="M103" s="4">
        <v>1680</v>
      </c>
      <c r="N103">
        <f>N104*N101/N102</f>
        <v>2560</v>
      </c>
    </row>
    <row r="104" spans="1:14" x14ac:dyDescent="0.25">
      <c r="B104" s="2" t="s">
        <v>0</v>
      </c>
      <c r="C104" s="2" t="s">
        <v>1</v>
      </c>
      <c r="D104" s="4" t="s">
        <v>1</v>
      </c>
      <c r="E104" s="4">
        <v>720</v>
      </c>
      <c r="F104" s="4">
        <v>720</v>
      </c>
      <c r="G104" s="4">
        <v>720</v>
      </c>
      <c r="H104" s="4">
        <v>720</v>
      </c>
      <c r="I104" s="4">
        <v>720</v>
      </c>
      <c r="J104" s="4">
        <v>720</v>
      </c>
      <c r="K104" s="4">
        <v>720</v>
      </c>
      <c r="L104" s="4">
        <v>720</v>
      </c>
      <c r="M104" s="4">
        <v>720</v>
      </c>
      <c r="N104" s="4">
        <v>720</v>
      </c>
    </row>
    <row r="105" spans="1:14" x14ac:dyDescent="0.25">
      <c r="B105" s="4">
        <v>1</v>
      </c>
      <c r="C105" s="4">
        <v>1</v>
      </c>
      <c r="E105">
        <f t="shared" ref="E105:N105" si="55">(E82*$L$27/2)-(E82/2)</f>
        <v>4.7999999999999973E-2</v>
      </c>
      <c r="F105">
        <f t="shared" si="55"/>
        <v>4.2749999999999996E-2</v>
      </c>
      <c r="G105">
        <f t="shared" si="55"/>
        <v>3.9599999999999982E-2</v>
      </c>
      <c r="H105">
        <f t="shared" si="55"/>
        <v>3.7499999999999978E-2</v>
      </c>
      <c r="I105">
        <f t="shared" si="55"/>
        <v>3.3999999999999989E-2</v>
      </c>
      <c r="J105">
        <f t="shared" si="55"/>
        <v>3.2249999999999987E-2</v>
      </c>
      <c r="K105">
        <f t="shared" si="55"/>
        <v>2.9624999999999999E-2</v>
      </c>
      <c r="L105">
        <f t="shared" si="55"/>
        <v>2.538461538461538E-2</v>
      </c>
      <c r="M105">
        <f t="shared" si="55"/>
        <v>2.4E-2</v>
      </c>
      <c r="N105">
        <f t="shared" si="55"/>
        <v>1.7812499999999995E-2</v>
      </c>
    </row>
    <row r="106" spans="1:14" x14ac:dyDescent="0.25">
      <c r="B106" s="4">
        <v>1</v>
      </c>
      <c r="C106" s="4">
        <v>2</v>
      </c>
      <c r="E106">
        <f t="shared" ref="E106:N106" si="56">(E83*$L$27/2)-(E83/2)</f>
        <v>2.3999999999999987E-2</v>
      </c>
      <c r="F106">
        <f t="shared" si="56"/>
        <v>2.1374999999999998E-2</v>
      </c>
      <c r="G106">
        <f t="shared" si="56"/>
        <v>1.9799999999999991E-2</v>
      </c>
      <c r="H106">
        <f t="shared" si="56"/>
        <v>1.8749999999999989E-2</v>
      </c>
      <c r="I106">
        <f t="shared" si="56"/>
        <v>1.6999999999999994E-2</v>
      </c>
      <c r="J106">
        <f t="shared" si="56"/>
        <v>1.6124999999999994E-2</v>
      </c>
      <c r="K106">
        <f t="shared" si="56"/>
        <v>1.4812499999999999E-2</v>
      </c>
      <c r="L106">
        <f t="shared" si="56"/>
        <v>1.269230769230769E-2</v>
      </c>
      <c r="M106">
        <f t="shared" si="56"/>
        <v>1.2E-2</v>
      </c>
      <c r="N106">
        <f t="shared" si="56"/>
        <v>8.9062499999999975E-3</v>
      </c>
    </row>
    <row r="107" spans="1:14" x14ac:dyDescent="0.25">
      <c r="B107" s="4">
        <v>2</v>
      </c>
      <c r="C107" s="4">
        <v>3</v>
      </c>
      <c r="E107">
        <f t="shared" ref="E107:N107" si="57">(E84*$L$27/2)-(E84/2)</f>
        <v>3.1999999999999987E-2</v>
      </c>
      <c r="F107">
        <f t="shared" si="57"/>
        <v>2.8499999999999998E-2</v>
      </c>
      <c r="G107">
        <f t="shared" si="57"/>
        <v>2.6399999999999993E-2</v>
      </c>
      <c r="H107">
        <f t="shared" si="57"/>
        <v>2.4999999999999994E-2</v>
      </c>
      <c r="I107">
        <f t="shared" si="57"/>
        <v>2.2666666666666661E-2</v>
      </c>
      <c r="J107">
        <f t="shared" si="57"/>
        <v>2.1499999999999991E-2</v>
      </c>
      <c r="K107">
        <f t="shared" si="57"/>
        <v>1.9749999999999997E-2</v>
      </c>
      <c r="L107">
        <f t="shared" si="57"/>
        <v>1.6923076923076916E-2</v>
      </c>
      <c r="M107">
        <f t="shared" si="57"/>
        <v>1.5999999999999993E-2</v>
      </c>
      <c r="N107">
        <f t="shared" si="57"/>
        <v>1.1874999999999997E-2</v>
      </c>
    </row>
    <row r="108" spans="1:14" x14ac:dyDescent="0.25">
      <c r="B108" s="4">
        <v>3</v>
      </c>
      <c r="C108" s="4">
        <v>4</v>
      </c>
      <c r="E108">
        <f t="shared" ref="E108:N108" si="58">(E85*$L$27/2)-(E85/2)</f>
        <v>3.6000000000000004E-2</v>
      </c>
      <c r="F108">
        <f t="shared" si="58"/>
        <v>3.2062499999999994E-2</v>
      </c>
      <c r="G108">
        <f t="shared" si="58"/>
        <v>2.969999999999999E-2</v>
      </c>
      <c r="H108">
        <f t="shared" si="58"/>
        <v>2.8124999999999997E-2</v>
      </c>
      <c r="I108">
        <f t="shared" si="58"/>
        <v>2.5499999999999995E-2</v>
      </c>
      <c r="J108">
        <f t="shared" si="58"/>
        <v>2.4187499999999994E-2</v>
      </c>
      <c r="K108">
        <f t="shared" si="58"/>
        <v>2.2218749999999995E-2</v>
      </c>
      <c r="L108">
        <f t="shared" si="58"/>
        <v>1.9038461538461525E-2</v>
      </c>
      <c r="M108">
        <f t="shared" si="58"/>
        <v>1.7999999999999995E-2</v>
      </c>
      <c r="N108">
        <f t="shared" si="58"/>
        <v>1.3359375E-2</v>
      </c>
    </row>
    <row r="109" spans="1:14" x14ac:dyDescent="0.25">
      <c r="B109" s="4">
        <v>3</v>
      </c>
      <c r="C109" s="4">
        <v>5</v>
      </c>
      <c r="E109">
        <f t="shared" ref="E109:N109" si="59">(E86*$L$27/2)-(E86/2)</f>
        <v>2.8799999999999992E-2</v>
      </c>
      <c r="F109">
        <f t="shared" si="59"/>
        <v>2.5649999999999992E-2</v>
      </c>
      <c r="G109">
        <f t="shared" si="59"/>
        <v>2.3759999999999989E-2</v>
      </c>
      <c r="H109">
        <f t="shared" si="59"/>
        <v>2.2499999999999999E-2</v>
      </c>
      <c r="I109">
        <f t="shared" si="59"/>
        <v>2.0399999999999995E-2</v>
      </c>
      <c r="J109">
        <f t="shared" si="59"/>
        <v>1.9349999999999999E-2</v>
      </c>
      <c r="K109">
        <f t="shared" si="59"/>
        <v>1.7774999999999992E-2</v>
      </c>
      <c r="L109">
        <f t="shared" si="59"/>
        <v>1.5230769230769228E-2</v>
      </c>
      <c r="M109">
        <f t="shared" si="59"/>
        <v>1.4399999999999996E-2</v>
      </c>
      <c r="N109">
        <f t="shared" si="59"/>
        <v>1.0687499999999999E-2</v>
      </c>
    </row>
    <row r="110" spans="1:14" x14ac:dyDescent="0.25">
      <c r="B110" s="4">
        <v>4</v>
      </c>
      <c r="C110" s="4">
        <v>3</v>
      </c>
      <c r="E110">
        <f t="shared" ref="E110:N110" si="60">(E87*$L$27/2)-(E87/2)</f>
        <v>6.3999999999999974E-2</v>
      </c>
      <c r="F110">
        <f t="shared" si="60"/>
        <v>5.6999999999999995E-2</v>
      </c>
      <c r="G110">
        <f t="shared" si="60"/>
        <v>5.2799999999999986E-2</v>
      </c>
      <c r="H110">
        <f t="shared" si="60"/>
        <v>4.9999999999999989E-2</v>
      </c>
      <c r="I110">
        <f t="shared" si="60"/>
        <v>4.5333333333333323E-2</v>
      </c>
      <c r="J110">
        <f t="shared" si="60"/>
        <v>4.2999999999999983E-2</v>
      </c>
      <c r="K110">
        <f t="shared" si="60"/>
        <v>3.9499999999999993E-2</v>
      </c>
      <c r="L110">
        <f t="shared" si="60"/>
        <v>3.3846153846153831E-2</v>
      </c>
      <c r="M110">
        <f t="shared" si="60"/>
        <v>3.1999999999999987E-2</v>
      </c>
      <c r="N110">
        <f t="shared" si="60"/>
        <v>2.3749999999999993E-2</v>
      </c>
    </row>
    <row r="111" spans="1:14" x14ac:dyDescent="0.25">
      <c r="B111" s="4">
        <v>5</v>
      </c>
      <c r="C111" s="4">
        <v>7</v>
      </c>
      <c r="E111">
        <f t="shared" ref="E111:N111" si="61">(E88*$L$27/2)-(E88/2)</f>
        <v>3.4285714285714267E-2</v>
      </c>
      <c r="F111">
        <f t="shared" si="61"/>
        <v>3.0535714285714277E-2</v>
      </c>
      <c r="G111">
        <f t="shared" si="61"/>
        <v>2.8285714285714275E-2</v>
      </c>
      <c r="H111">
        <f t="shared" si="61"/>
        <v>2.6785714285714288E-2</v>
      </c>
      <c r="I111">
        <f t="shared" si="61"/>
        <v>2.4285714285714279E-2</v>
      </c>
      <c r="J111">
        <f t="shared" si="61"/>
        <v>2.3035714285714277E-2</v>
      </c>
      <c r="K111">
        <f t="shared" si="61"/>
        <v>2.1160714285714283E-2</v>
      </c>
      <c r="L111">
        <f t="shared" si="61"/>
        <v>1.813186813186813E-2</v>
      </c>
      <c r="M111">
        <f t="shared" si="61"/>
        <v>1.714285714285714E-2</v>
      </c>
      <c r="N111">
        <f t="shared" si="61"/>
        <v>1.2723214285714282E-2</v>
      </c>
    </row>
    <row r="112" spans="1:14" x14ac:dyDescent="0.25">
      <c r="B112" s="4">
        <v>99</v>
      </c>
      <c r="C112" s="4">
        <v>168</v>
      </c>
      <c r="E112">
        <f t="shared" ref="E112:N112" si="62">(E89*$L$27/2)-(E89/2)</f>
        <v>2.8285714285714275E-2</v>
      </c>
      <c r="F112">
        <f t="shared" si="62"/>
        <v>2.5191964285714269E-2</v>
      </c>
      <c r="G112">
        <f t="shared" si="62"/>
        <v>2.3335714285714286E-2</v>
      </c>
      <c r="H112">
        <f t="shared" si="62"/>
        <v>2.2098214285714277E-2</v>
      </c>
      <c r="I112">
        <f t="shared" si="62"/>
        <v>2.0035714285714282E-2</v>
      </c>
      <c r="J112">
        <f t="shared" si="62"/>
        <v>1.9004464285714284E-2</v>
      </c>
      <c r="K112">
        <f t="shared" si="62"/>
        <v>1.7457589285714281E-2</v>
      </c>
      <c r="L112">
        <f t="shared" si="62"/>
        <v>1.4958791208791206E-2</v>
      </c>
      <c r="M112">
        <f t="shared" si="62"/>
        <v>1.4142857142857138E-2</v>
      </c>
      <c r="N112">
        <f t="shared" si="62"/>
        <v>1.0496651785714281E-2</v>
      </c>
    </row>
    <row r="113" spans="2:14" x14ac:dyDescent="0.25">
      <c r="B113" s="4">
        <v>105</v>
      </c>
      <c r="C113" s="4">
        <v>170</v>
      </c>
      <c r="E113">
        <f t="shared" ref="E113:N113" si="63">(E90*$L$27/2)-(E90/2)</f>
        <v>2.9647058823529415E-2</v>
      </c>
      <c r="F113">
        <f t="shared" si="63"/>
        <v>2.6404411764705871E-2</v>
      </c>
      <c r="G113">
        <f t="shared" si="63"/>
        <v>2.4458823529411762E-2</v>
      </c>
      <c r="H113">
        <f t="shared" si="63"/>
        <v>2.3161764705882347E-2</v>
      </c>
      <c r="I113">
        <f t="shared" si="63"/>
        <v>2.0999999999999991E-2</v>
      </c>
      <c r="J113">
        <f t="shared" si="63"/>
        <v>1.9919117647058816E-2</v>
      </c>
      <c r="K113">
        <f t="shared" si="63"/>
        <v>1.8297794117647051E-2</v>
      </c>
      <c r="L113">
        <f t="shared" si="63"/>
        <v>1.5678733031674198E-2</v>
      </c>
      <c r="M113">
        <f t="shared" si="63"/>
        <v>1.4823529411764708E-2</v>
      </c>
      <c r="N113">
        <f t="shared" si="63"/>
        <v>1.1001838235294117E-2</v>
      </c>
    </row>
    <row r="114" spans="2:14" x14ac:dyDescent="0.25">
      <c r="B114" s="4">
        <v>112</v>
      </c>
      <c r="C114" s="4">
        <v>67</v>
      </c>
      <c r="E114">
        <f t="shared" ref="E114:N114" si="64">(E91*$L$27/2)-(E91/2)</f>
        <v>8.0238805970149235E-2</v>
      </c>
      <c r="F114">
        <f t="shared" si="64"/>
        <v>7.1462686567164146E-2</v>
      </c>
      <c r="G114">
        <f t="shared" si="64"/>
        <v>6.619701492537311E-2</v>
      </c>
      <c r="H114">
        <f t="shared" si="64"/>
        <v>6.2686567164179086E-2</v>
      </c>
      <c r="I114">
        <f t="shared" si="64"/>
        <v>5.6835820895522388E-2</v>
      </c>
      <c r="J114">
        <f t="shared" si="64"/>
        <v>5.3910447761194025E-2</v>
      </c>
      <c r="K114">
        <f t="shared" si="64"/>
        <v>4.9522388059701494E-2</v>
      </c>
      <c r="L114">
        <f t="shared" si="64"/>
        <v>4.2433983926521229E-2</v>
      </c>
      <c r="M114">
        <f t="shared" si="64"/>
        <v>4.0119402985074618E-2</v>
      </c>
      <c r="N114">
        <f t="shared" si="64"/>
        <v>2.9776119402985066E-2</v>
      </c>
    </row>
    <row r="115" spans="2:14" x14ac:dyDescent="0.25">
      <c r="B115" s="4">
        <v>135</v>
      </c>
      <c r="C115" s="4">
        <v>172</v>
      </c>
      <c r="E115">
        <f t="shared" ref="E115:N115" si="65">(E92*$L$27/2)-(E92/2)</f>
        <v>3.7674418604651136E-2</v>
      </c>
      <c r="F115">
        <f t="shared" si="65"/>
        <v>3.3553779069767434E-2</v>
      </c>
      <c r="G115">
        <f t="shared" si="65"/>
        <v>3.1081395348837207E-2</v>
      </c>
      <c r="H115">
        <f t="shared" si="65"/>
        <v>2.9433139534883718E-2</v>
      </c>
      <c r="I115">
        <f t="shared" si="65"/>
        <v>2.6686046511627898E-2</v>
      </c>
      <c r="J115">
        <f t="shared" si="65"/>
        <v>2.5312499999999988E-2</v>
      </c>
      <c r="K115">
        <f t="shared" si="65"/>
        <v>2.3252180232558144E-2</v>
      </c>
      <c r="L115">
        <f t="shared" si="65"/>
        <v>1.9923971377459743E-2</v>
      </c>
      <c r="M115">
        <f t="shared" si="65"/>
        <v>1.8837209302325575E-2</v>
      </c>
      <c r="N115">
        <f t="shared" si="65"/>
        <v>1.3980741279069765E-2</v>
      </c>
    </row>
    <row r="116" spans="2:14" x14ac:dyDescent="0.25">
      <c r="B116" s="4">
        <v>143</v>
      </c>
      <c r="C116" s="4">
        <v>207</v>
      </c>
      <c r="E116">
        <f t="shared" ref="E116:N116" si="66">(E93*$L$27/2)-(E93/2)</f>
        <v>3.3159420289855066E-2</v>
      </c>
      <c r="F116">
        <f t="shared" si="66"/>
        <v>2.9532608695652163E-2</v>
      </c>
      <c r="G116">
        <f t="shared" si="66"/>
        <v>2.7356521739130432E-2</v>
      </c>
      <c r="H116">
        <f t="shared" si="66"/>
        <v>2.5905797101449274E-2</v>
      </c>
      <c r="I116">
        <f t="shared" si="66"/>
        <v>2.3487922705314003E-2</v>
      </c>
      <c r="J116">
        <f t="shared" si="66"/>
        <v>2.2278985507246378E-2</v>
      </c>
      <c r="K116">
        <f t="shared" si="66"/>
        <v>2.0465579710144927E-2</v>
      </c>
      <c r="L116">
        <f t="shared" si="66"/>
        <v>1.7536231884057965E-2</v>
      </c>
      <c r="M116">
        <f t="shared" si="66"/>
        <v>1.6579710144927533E-2</v>
      </c>
      <c r="N116">
        <f t="shared" si="66"/>
        <v>1.2305253623188406E-2</v>
      </c>
    </row>
    <row r="117" spans="2:14" x14ac:dyDescent="0.25">
      <c r="B117" s="4">
        <v>145</v>
      </c>
      <c r="C117" s="4">
        <v>205</v>
      </c>
      <c r="E117">
        <f t="shared" ref="E117:N117" si="67">(E94*$L$27/2)-(E94/2)</f>
        <v>3.395121951219511E-2</v>
      </c>
      <c r="F117">
        <f t="shared" si="67"/>
        <v>3.0237804878048766E-2</v>
      </c>
      <c r="G117">
        <f t="shared" si="67"/>
        <v>2.800975609756097E-2</v>
      </c>
      <c r="H117">
        <f t="shared" si="67"/>
        <v>2.6524390243902435E-2</v>
      </c>
      <c r="I117">
        <f t="shared" si="67"/>
        <v>2.4048780487804879E-2</v>
      </c>
      <c r="J117">
        <f t="shared" si="67"/>
        <v>2.281097560975609E-2</v>
      </c>
      <c r="K117">
        <f t="shared" si="67"/>
        <v>2.0954268292682918E-2</v>
      </c>
      <c r="L117">
        <f t="shared" si="67"/>
        <v>1.7954971857410879E-2</v>
      </c>
      <c r="M117">
        <f t="shared" si="67"/>
        <v>1.6975609756097562E-2</v>
      </c>
      <c r="N117">
        <f t="shared" si="67"/>
        <v>1.2599085365853656E-2</v>
      </c>
    </row>
    <row r="118" spans="2:14" x14ac:dyDescent="0.25">
      <c r="B118" s="4">
        <v>243</v>
      </c>
      <c r="C118" s="4">
        <v>340</v>
      </c>
      <c r="E118">
        <f t="shared" ref="E118:N118" si="68">(E95*$L$27/2)-(E95/2)</f>
        <v>3.4305882352941172E-2</v>
      </c>
      <c r="F118">
        <f t="shared" si="68"/>
        <v>3.0553676470588223E-2</v>
      </c>
      <c r="G118">
        <f t="shared" si="68"/>
        <v>2.8302352941176473E-2</v>
      </c>
      <c r="H118">
        <f t="shared" si="68"/>
        <v>2.6801470588235288E-2</v>
      </c>
      <c r="I118">
        <f t="shared" si="68"/>
        <v>2.4299999999999988E-2</v>
      </c>
      <c r="J118">
        <f t="shared" si="68"/>
        <v>2.3049264705882345E-2</v>
      </c>
      <c r="K118">
        <f t="shared" si="68"/>
        <v>2.1173161764705871E-2</v>
      </c>
      <c r="L118">
        <f t="shared" si="68"/>
        <v>1.8142533936651578E-2</v>
      </c>
      <c r="M118">
        <f t="shared" si="68"/>
        <v>1.7152941176470586E-2</v>
      </c>
      <c r="N118">
        <f t="shared" si="68"/>
        <v>1.2730698529411763E-2</v>
      </c>
    </row>
    <row r="119" spans="2:14" x14ac:dyDescent="0.25">
      <c r="B119" s="4">
        <v>257</v>
      </c>
      <c r="C119" s="4">
        <v>229</v>
      </c>
      <c r="E119">
        <f t="shared" ref="E119:N119" si="69">(E96*$L$27/2)-(E96/2)</f>
        <v>5.3868995633187755E-2</v>
      </c>
      <c r="F119">
        <f t="shared" si="69"/>
        <v>4.797707423580784E-2</v>
      </c>
      <c r="G119">
        <f t="shared" si="69"/>
        <v>4.4441921397379888E-2</v>
      </c>
      <c r="H119">
        <f t="shared" si="69"/>
        <v>4.2085152838427939E-2</v>
      </c>
      <c r="I119">
        <f t="shared" si="69"/>
        <v>3.8157205240174671E-2</v>
      </c>
      <c r="J119">
        <f t="shared" si="69"/>
        <v>3.6193231441048024E-2</v>
      </c>
      <c r="K119">
        <f t="shared" si="69"/>
        <v>3.3247270742358073E-2</v>
      </c>
      <c r="L119">
        <f t="shared" si="69"/>
        <v>2.8488411152166604E-2</v>
      </c>
      <c r="M119">
        <f t="shared" si="69"/>
        <v>2.6934497816593878E-2</v>
      </c>
      <c r="N119">
        <f t="shared" si="69"/>
        <v>1.9990447598253275E-2</v>
      </c>
    </row>
    <row r="120" spans="2:14" x14ac:dyDescent="0.25">
      <c r="B120" s="4">
        <v>373</v>
      </c>
      <c r="C120" s="4">
        <v>436</v>
      </c>
      <c r="E120">
        <f t="shared" ref="E120:N120" si="70">(E97*$L$27/2)-(E97/2)</f>
        <v>4.1064220183486211E-2</v>
      </c>
      <c r="F120">
        <f t="shared" si="70"/>
        <v>3.6572821100917419E-2</v>
      </c>
      <c r="G120">
        <f t="shared" si="70"/>
        <v>3.3877981651376135E-2</v>
      </c>
      <c r="H120">
        <f t="shared" si="70"/>
        <v>3.2081422018348613E-2</v>
      </c>
      <c r="I120">
        <f t="shared" si="70"/>
        <v>2.9087155963302747E-2</v>
      </c>
      <c r="J120">
        <f t="shared" si="70"/>
        <v>2.7590022935779807E-2</v>
      </c>
      <c r="K120">
        <f t="shared" si="70"/>
        <v>2.534432339449541E-2</v>
      </c>
      <c r="L120">
        <f t="shared" si="70"/>
        <v>2.1716654904728294E-2</v>
      </c>
      <c r="M120">
        <f t="shared" si="70"/>
        <v>2.0532110091743119E-2</v>
      </c>
      <c r="N120">
        <f t="shared" si="70"/>
        <v>1.5238675458715593E-2</v>
      </c>
    </row>
    <row r="121" spans="2:14" x14ac:dyDescent="0.25">
      <c r="B121" s="4">
        <v>752</v>
      </c>
      <c r="C121" s="4">
        <v>1440</v>
      </c>
      <c r="E121">
        <f t="shared" ref="E121:N121" si="71">(E98*$L$27/2)-(E98/2)</f>
        <v>2.5066666666666654E-2</v>
      </c>
      <c r="F121">
        <f t="shared" si="71"/>
        <v>2.2324999999999991E-2</v>
      </c>
      <c r="G121">
        <f t="shared" si="71"/>
        <v>2.0679999999999997E-2</v>
      </c>
      <c r="H121">
        <f t="shared" si="71"/>
        <v>1.9583333333333335E-2</v>
      </c>
      <c r="I121">
        <f t="shared" si="71"/>
        <v>1.7755555555555545E-2</v>
      </c>
      <c r="J121">
        <f t="shared" si="71"/>
        <v>1.6841666666666665E-2</v>
      </c>
      <c r="K121">
        <f t="shared" si="71"/>
        <v>1.5470833333333329E-2</v>
      </c>
      <c r="L121">
        <f t="shared" si="71"/>
        <v>1.325641025641025E-2</v>
      </c>
      <c r="M121">
        <f t="shared" si="71"/>
        <v>1.2533333333333327E-2</v>
      </c>
      <c r="N121">
        <f t="shared" si="71"/>
        <v>9.3020833333333289E-3</v>
      </c>
    </row>
    <row r="124" spans="2:14" x14ac:dyDescent="0.25">
      <c r="E124" s="3" t="s">
        <v>4</v>
      </c>
      <c r="F124" s="3"/>
    </row>
    <row r="125" spans="2:14" x14ac:dyDescent="0.25">
      <c r="E125" s="4">
        <v>1</v>
      </c>
      <c r="F125" s="4">
        <v>8</v>
      </c>
      <c r="G125" s="4">
        <v>5</v>
      </c>
      <c r="H125" s="4">
        <v>4</v>
      </c>
      <c r="I125" s="4">
        <v>3</v>
      </c>
      <c r="J125" s="4">
        <v>16</v>
      </c>
      <c r="K125" s="4">
        <v>16</v>
      </c>
      <c r="L125" s="4">
        <v>19.5</v>
      </c>
      <c r="M125" s="4">
        <v>21</v>
      </c>
      <c r="N125" s="4">
        <v>32</v>
      </c>
    </row>
    <row r="126" spans="2:14" x14ac:dyDescent="0.25">
      <c r="E126" s="4">
        <v>1</v>
      </c>
      <c r="F126" s="4">
        <v>7</v>
      </c>
      <c r="G126" s="4">
        <v>4</v>
      </c>
      <c r="H126" s="4">
        <v>3</v>
      </c>
      <c r="I126" s="4">
        <v>2</v>
      </c>
      <c r="J126" s="4">
        <v>10</v>
      </c>
      <c r="K126" s="4">
        <v>9</v>
      </c>
      <c r="L126" s="4">
        <v>9</v>
      </c>
      <c r="M126" s="4">
        <v>9</v>
      </c>
      <c r="N126" s="4">
        <v>9</v>
      </c>
    </row>
    <row r="127" spans="2:14" x14ac:dyDescent="0.25">
      <c r="B127" s="2"/>
      <c r="C127" s="2"/>
      <c r="D127" s="4" t="s">
        <v>0</v>
      </c>
      <c r="E127" s="4">
        <v>720</v>
      </c>
      <c r="F127">
        <f>F128*F125/F126</f>
        <v>822.85714285714289</v>
      </c>
      <c r="G127" s="4">
        <v>900</v>
      </c>
      <c r="H127" s="4">
        <v>960</v>
      </c>
      <c r="I127" s="4">
        <v>1080</v>
      </c>
      <c r="J127" s="4">
        <v>1152</v>
      </c>
      <c r="K127" s="4">
        <v>1280</v>
      </c>
      <c r="L127" s="4">
        <v>1560</v>
      </c>
      <c r="M127" s="4">
        <v>1680</v>
      </c>
      <c r="N127">
        <f>N128*N125/N126</f>
        <v>2560</v>
      </c>
    </row>
    <row r="128" spans="2:14" x14ac:dyDescent="0.25">
      <c r="B128" s="2" t="s">
        <v>0</v>
      </c>
      <c r="C128" s="2" t="s">
        <v>1</v>
      </c>
      <c r="D128" s="4" t="s">
        <v>1</v>
      </c>
      <c r="E128" s="4">
        <v>720</v>
      </c>
      <c r="F128" s="4">
        <v>720</v>
      </c>
      <c r="G128" s="4">
        <v>720</v>
      </c>
      <c r="H128" s="4">
        <v>720</v>
      </c>
      <c r="I128" s="4">
        <v>720</v>
      </c>
      <c r="J128" s="4">
        <v>720</v>
      </c>
      <c r="K128" s="4">
        <v>720</v>
      </c>
      <c r="L128" s="4">
        <v>720</v>
      </c>
      <c r="M128" s="4">
        <v>720</v>
      </c>
      <c r="N128" s="4">
        <v>720</v>
      </c>
    </row>
    <row r="129" spans="2:14" x14ac:dyDescent="0.25">
      <c r="B129" s="4">
        <v>1</v>
      </c>
      <c r="C129" s="4">
        <v>1</v>
      </c>
      <c r="E129">
        <f t="shared" ref="E129:N129" si="72">(E$54/((E82*E$54)+$H$27))</f>
        <v>3.9387308533916854</v>
      </c>
      <c r="F129">
        <f t="shared" si="72"/>
        <v>4.4266830617891184</v>
      </c>
      <c r="G129">
        <f t="shared" si="72"/>
        <v>4.7821466524973433</v>
      </c>
      <c r="H129">
        <f t="shared" si="72"/>
        <v>5.0526315789473681</v>
      </c>
      <c r="I129">
        <f t="shared" si="72"/>
        <v>5.5785123966942152</v>
      </c>
      <c r="J129">
        <f t="shared" si="72"/>
        <v>5.8847568451164696</v>
      </c>
      <c r="K129">
        <f t="shared" si="72"/>
        <v>6.4128256513026045</v>
      </c>
      <c r="L129">
        <f t="shared" si="72"/>
        <v>7.5</v>
      </c>
      <c r="M129">
        <f t="shared" si="72"/>
        <v>7.9395085066162565</v>
      </c>
      <c r="N129">
        <f t="shared" si="72"/>
        <v>10.756302521008404</v>
      </c>
    </row>
    <row r="130" spans="2:14" x14ac:dyDescent="0.25">
      <c r="B130" s="4">
        <v>1</v>
      </c>
      <c r="C130" s="4">
        <v>2</v>
      </c>
      <c r="E130">
        <f t="shared" ref="E130:N130" si="73">(E$54/((E83*E$54)+$H$27))</f>
        <v>7.4688796680497935</v>
      </c>
      <c r="F130">
        <f t="shared" si="73"/>
        <v>8.4014002333722289</v>
      </c>
      <c r="G130">
        <f t="shared" si="73"/>
        <v>9.0817356205852686</v>
      </c>
      <c r="H130">
        <f t="shared" si="73"/>
        <v>9.6</v>
      </c>
      <c r="I130">
        <f t="shared" si="73"/>
        <v>10.609037328094303</v>
      </c>
      <c r="J130">
        <f t="shared" si="73"/>
        <v>11.19751166407465</v>
      </c>
      <c r="K130">
        <f t="shared" si="73"/>
        <v>12.213740458015266</v>
      </c>
      <c r="L130">
        <f t="shared" si="73"/>
        <v>14.311926605504587</v>
      </c>
      <c r="M130">
        <f t="shared" si="73"/>
        <v>15.162454873646208</v>
      </c>
      <c r="N130">
        <f t="shared" si="73"/>
        <v>20.64516129032258</v>
      </c>
    </row>
    <row r="131" spans="2:14" x14ac:dyDescent="0.25">
      <c r="B131" s="4">
        <v>2</v>
      </c>
      <c r="C131" s="4">
        <v>3</v>
      </c>
      <c r="E131">
        <f t="shared" ref="E131:N131" si="74">(E$54/((E84*E$54)+$H$27))</f>
        <v>5.7507987220447285</v>
      </c>
      <c r="F131">
        <f t="shared" si="74"/>
        <v>6.4660978895374948</v>
      </c>
      <c r="G131">
        <f t="shared" si="74"/>
        <v>6.9875776397515521</v>
      </c>
      <c r="H131">
        <f t="shared" si="74"/>
        <v>7.384615384615385</v>
      </c>
      <c r="I131">
        <f t="shared" si="74"/>
        <v>8.1570996978851973</v>
      </c>
      <c r="J131">
        <f t="shared" si="74"/>
        <v>8.6072922893006591</v>
      </c>
      <c r="K131">
        <f t="shared" si="74"/>
        <v>9.3841642228739026</v>
      </c>
      <c r="L131">
        <f t="shared" si="74"/>
        <v>10.985915492957748</v>
      </c>
      <c r="M131">
        <f t="shared" si="74"/>
        <v>11.634349030470913</v>
      </c>
      <c r="N131">
        <f t="shared" si="74"/>
        <v>15.802469135802468</v>
      </c>
    </row>
    <row r="132" spans="2:14" x14ac:dyDescent="0.25">
      <c r="B132" s="4">
        <v>3</v>
      </c>
      <c r="C132" s="4">
        <v>4</v>
      </c>
      <c r="E132">
        <f t="shared" ref="E132:N132" si="75">(E$54/((E85*E$54)+$H$27))</f>
        <v>5.1575931232091694</v>
      </c>
      <c r="F132">
        <f t="shared" si="75"/>
        <v>5.7982685725790217</v>
      </c>
      <c r="G132">
        <f t="shared" si="75"/>
        <v>6.2652279846849996</v>
      </c>
      <c r="H132">
        <f t="shared" si="75"/>
        <v>6.6206896551724137</v>
      </c>
      <c r="I132">
        <f t="shared" si="75"/>
        <v>7.3121191604603935</v>
      </c>
      <c r="J132">
        <f t="shared" si="75"/>
        <v>7.7149745512992238</v>
      </c>
      <c r="K132">
        <f t="shared" si="75"/>
        <v>8.4099868593955325</v>
      </c>
      <c r="L132">
        <f t="shared" si="75"/>
        <v>9.8422712933753953</v>
      </c>
      <c r="M132">
        <f t="shared" si="75"/>
        <v>10.421836228287841</v>
      </c>
      <c r="N132">
        <f t="shared" si="75"/>
        <v>14.143646408839778</v>
      </c>
    </row>
    <row r="133" spans="2:14" x14ac:dyDescent="0.25">
      <c r="B133" s="4">
        <v>3</v>
      </c>
      <c r="C133" s="4">
        <v>5</v>
      </c>
      <c r="E133">
        <f t="shared" ref="E133:N133" si="76">(E$54/((E86*E$54)+$H$27))</f>
        <v>6.3335679099225901</v>
      </c>
      <c r="F133">
        <f t="shared" si="76"/>
        <v>7.122366208329213</v>
      </c>
      <c r="G133">
        <f t="shared" si="76"/>
        <v>7.6975709887102299</v>
      </c>
      <c r="H133">
        <f t="shared" si="76"/>
        <v>8.1355932203389827</v>
      </c>
      <c r="I133">
        <f t="shared" si="76"/>
        <v>8.9880159786950742</v>
      </c>
      <c r="J133">
        <f t="shared" si="76"/>
        <v>9.4849163483072072</v>
      </c>
      <c r="K133">
        <f t="shared" si="76"/>
        <v>10.342598577892696</v>
      </c>
      <c r="L133">
        <f t="shared" si="76"/>
        <v>12.111801242236027</v>
      </c>
      <c r="M133">
        <f t="shared" si="76"/>
        <v>12.828344532681735</v>
      </c>
      <c r="N133">
        <f t="shared" si="76"/>
        <v>17.438692098092641</v>
      </c>
    </row>
    <row r="134" spans="2:14" x14ac:dyDescent="0.25">
      <c r="B134" s="4">
        <v>4</v>
      </c>
      <c r="C134" s="4">
        <v>3</v>
      </c>
      <c r="E134">
        <f t="shared" ref="E134:N134" si="77">(E$54/((E87*E$54)+$H$27))</f>
        <v>2.9950083194675545</v>
      </c>
      <c r="F134">
        <f t="shared" si="77"/>
        <v>3.3652722598738025</v>
      </c>
      <c r="G134">
        <f t="shared" si="77"/>
        <v>3.6348949919224554</v>
      </c>
      <c r="H134">
        <f t="shared" si="77"/>
        <v>3.84</v>
      </c>
      <c r="I134">
        <f t="shared" si="77"/>
        <v>4.2386185243328107</v>
      </c>
      <c r="J134">
        <f t="shared" si="77"/>
        <v>4.4706612853151206</v>
      </c>
      <c r="K134">
        <f t="shared" si="77"/>
        <v>4.8706240487062411</v>
      </c>
      <c r="L134">
        <f t="shared" si="77"/>
        <v>5.6934306569343081</v>
      </c>
      <c r="M134">
        <f t="shared" si="77"/>
        <v>6.0258249641319939</v>
      </c>
      <c r="N134">
        <f t="shared" si="77"/>
        <v>8.1528662420382165</v>
      </c>
    </row>
    <row r="135" spans="2:14" x14ac:dyDescent="0.25">
      <c r="B135" s="4">
        <v>5</v>
      </c>
      <c r="C135" s="4">
        <v>7</v>
      </c>
      <c r="E135">
        <f t="shared" ref="E135:N135" si="78">(E$54/((E88*E$54)+$H$27))</f>
        <v>5.3961456102783734</v>
      </c>
      <c r="F135">
        <f t="shared" si="78"/>
        <v>6.0668071020162504</v>
      </c>
      <c r="G135">
        <f t="shared" si="78"/>
        <v>6.5556711758584809</v>
      </c>
      <c r="H135">
        <f t="shared" si="78"/>
        <v>6.9278350515463911</v>
      </c>
      <c r="I135">
        <f t="shared" si="78"/>
        <v>7.6518218623481786</v>
      </c>
      <c r="J135">
        <f t="shared" si="78"/>
        <v>8.0736884261113335</v>
      </c>
      <c r="K135">
        <f t="shared" si="78"/>
        <v>8.8015717092337926</v>
      </c>
      <c r="L135">
        <f t="shared" si="78"/>
        <v>10.301886792452832</v>
      </c>
      <c r="M135">
        <f t="shared" si="78"/>
        <v>10.909090909090907</v>
      </c>
      <c r="N135">
        <f t="shared" si="78"/>
        <v>14.809917355371903</v>
      </c>
    </row>
    <row r="136" spans="2:14" x14ac:dyDescent="0.25">
      <c r="B136" s="4">
        <v>99</v>
      </c>
      <c r="C136" s="4">
        <v>168</v>
      </c>
      <c r="E136">
        <f t="shared" ref="E136:N136" si="79">(E$54/((E89*E$54)+$H$27))</f>
        <v>6.4384261624936139</v>
      </c>
      <c r="F136">
        <f t="shared" si="79"/>
        <v>7.2404690502271647</v>
      </c>
      <c r="G136">
        <f t="shared" si="79"/>
        <v>7.8253578859112505</v>
      </c>
      <c r="H136">
        <f t="shared" si="79"/>
        <v>8.2707692307692309</v>
      </c>
      <c r="I136">
        <f t="shared" si="79"/>
        <v>9.1376080256239813</v>
      </c>
      <c r="J136">
        <f t="shared" si="79"/>
        <v>9.6429340157367331</v>
      </c>
      <c r="K136">
        <f t="shared" si="79"/>
        <v>10.515197746743342</v>
      </c>
      <c r="L136">
        <f t="shared" si="79"/>
        <v>12.314632083450807</v>
      </c>
      <c r="M136">
        <f t="shared" si="79"/>
        <v>13.043478260869565</v>
      </c>
      <c r="N136">
        <f t="shared" si="79"/>
        <v>17.733795150915387</v>
      </c>
    </row>
    <row r="137" spans="2:14" x14ac:dyDescent="0.25">
      <c r="B137" s="4">
        <v>105</v>
      </c>
      <c r="C137" s="4">
        <v>170</v>
      </c>
      <c r="E137">
        <f t="shared" ref="E137:N137" si="80">(E$54/((E90*E$54)+$H$27))</f>
        <v>6.1681112678895378</v>
      </c>
      <c r="F137">
        <f t="shared" si="80"/>
        <v>6.936023120077067</v>
      </c>
      <c r="G137">
        <f t="shared" si="80"/>
        <v>7.4959580618294055</v>
      </c>
      <c r="H137">
        <f t="shared" si="80"/>
        <v>7.9223300970873787</v>
      </c>
      <c r="I137">
        <f t="shared" si="80"/>
        <v>8.7520259319286868</v>
      </c>
      <c r="J137">
        <f t="shared" si="80"/>
        <v>9.2356447596770543</v>
      </c>
      <c r="K137">
        <f t="shared" si="80"/>
        <v>10.070344316919659</v>
      </c>
      <c r="L137">
        <f t="shared" si="80"/>
        <v>11.791907514450871</v>
      </c>
      <c r="M137">
        <f t="shared" si="80"/>
        <v>12.489067692845895</v>
      </c>
      <c r="N137">
        <f t="shared" si="80"/>
        <v>16.973478939157566</v>
      </c>
    </row>
    <row r="138" spans="2:14" x14ac:dyDescent="0.25">
      <c r="B138" s="4">
        <v>112</v>
      </c>
      <c r="C138" s="4">
        <v>67</v>
      </c>
      <c r="E138">
        <f t="shared" ref="E138:N138" si="81">(E$54/((E91*E$54)+$H$27))</f>
        <v>2.4091571945104779</v>
      </c>
      <c r="F138">
        <f t="shared" si="81"/>
        <v>2.7066074549529966</v>
      </c>
      <c r="G138">
        <f t="shared" si="81"/>
        <v>2.9231544860483605</v>
      </c>
      <c r="H138">
        <f t="shared" si="81"/>
        <v>3.0878540566490638</v>
      </c>
      <c r="I138">
        <f t="shared" si="81"/>
        <v>3.4078706930655764</v>
      </c>
      <c r="J138">
        <f t="shared" si="81"/>
        <v>3.5941126289399086</v>
      </c>
      <c r="K138">
        <f t="shared" si="81"/>
        <v>3.9150521337399335</v>
      </c>
      <c r="L138">
        <f t="shared" si="81"/>
        <v>4.5749803028976634</v>
      </c>
      <c r="M138">
        <f t="shared" si="81"/>
        <v>4.8414569103453013</v>
      </c>
      <c r="N138">
        <f t="shared" si="81"/>
        <v>6.5450660154163165</v>
      </c>
    </row>
    <row r="139" spans="2:14" x14ac:dyDescent="0.25">
      <c r="B139" s="4">
        <v>135</v>
      </c>
      <c r="C139" s="4">
        <v>172</v>
      </c>
      <c r="E139">
        <f t="shared" ref="E139:N139" si="82">(E$54/((E92*E$54)+$H$27))</f>
        <v>4.9441073139572032</v>
      </c>
      <c r="F139">
        <f t="shared" si="82"/>
        <v>5.557974104077374</v>
      </c>
      <c r="G139">
        <f t="shared" si="82"/>
        <v>6.0053536098071927</v>
      </c>
      <c r="H139">
        <f t="shared" si="82"/>
        <v>6.3458877786318215</v>
      </c>
      <c r="I139">
        <f t="shared" si="82"/>
        <v>7.0082245529314111</v>
      </c>
      <c r="J139">
        <f t="shared" si="82"/>
        <v>7.3940949935815157</v>
      </c>
      <c r="K139">
        <f t="shared" si="82"/>
        <v>8.059745204275881</v>
      </c>
      <c r="L139">
        <f t="shared" si="82"/>
        <v>9.4312829525483313</v>
      </c>
      <c r="M139">
        <f t="shared" si="82"/>
        <v>9.9861763892728757</v>
      </c>
      <c r="N139">
        <f t="shared" si="82"/>
        <v>13.548307692307691</v>
      </c>
    </row>
    <row r="140" spans="2:14" x14ac:dyDescent="0.25">
      <c r="B140" s="4">
        <v>143</v>
      </c>
      <c r="C140" s="4">
        <v>207</v>
      </c>
      <c r="E140">
        <f t="shared" ref="E140:N140" si="83">(E$54/((E93*E$54)+$H$27))</f>
        <v>5.5652641484070449</v>
      </c>
      <c r="F140">
        <f t="shared" si="83"/>
        <v>6.2572027734220041</v>
      </c>
      <c r="G140">
        <f t="shared" si="83"/>
        <v>6.7616123342261716</v>
      </c>
      <c r="H140">
        <f t="shared" si="83"/>
        <v>7.1456310679611663</v>
      </c>
      <c r="I140">
        <f t="shared" si="83"/>
        <v>7.8927300457549565</v>
      </c>
      <c r="J140">
        <f t="shared" si="83"/>
        <v>8.3280947471648776</v>
      </c>
      <c r="K140">
        <f t="shared" si="83"/>
        <v>9.0793206957522923</v>
      </c>
      <c r="L140">
        <f t="shared" si="83"/>
        <v>10.627962085308058</v>
      </c>
      <c r="M140">
        <f t="shared" si="83"/>
        <v>11.254806011883955</v>
      </c>
      <c r="N140">
        <f t="shared" si="83"/>
        <v>15.282920920574494</v>
      </c>
    </row>
    <row r="141" spans="2:14" x14ac:dyDescent="0.25">
      <c r="B141" s="4">
        <v>145</v>
      </c>
      <c r="C141" s="4">
        <v>205</v>
      </c>
      <c r="E141">
        <f t="shared" ref="E141:N141" si="84">(E$54/((E94*E$54)+$H$27))</f>
        <v>5.4452888659337422</v>
      </c>
      <c r="F141">
        <f t="shared" si="84"/>
        <v>6.1221315470203361</v>
      </c>
      <c r="G141">
        <f t="shared" si="84"/>
        <v>6.6155114919860871</v>
      </c>
      <c r="H141">
        <f t="shared" si="84"/>
        <v>6.9911190053285974</v>
      </c>
      <c r="I141">
        <f t="shared" si="84"/>
        <v>7.7218191964285712</v>
      </c>
      <c r="J141">
        <f t="shared" si="84"/>
        <v>8.1476063646274657</v>
      </c>
      <c r="K141">
        <f t="shared" si="84"/>
        <v>8.882269311488729</v>
      </c>
      <c r="L141">
        <f t="shared" si="84"/>
        <v>10.39661898569571</v>
      </c>
      <c r="M141">
        <f t="shared" si="84"/>
        <v>11.00952624512499</v>
      </c>
      <c r="N141">
        <f t="shared" si="84"/>
        <v>14.947308459128452</v>
      </c>
    </row>
    <row r="142" spans="2:14" x14ac:dyDescent="0.25">
      <c r="B142" s="4">
        <v>243</v>
      </c>
      <c r="C142" s="4">
        <v>340</v>
      </c>
      <c r="E142">
        <f t="shared" ref="E142:N142" si="85">(E$54/((E95*E$54)+$H$27))</f>
        <v>5.3932108992209811</v>
      </c>
      <c r="F142">
        <f t="shared" si="85"/>
        <v>6.0635033079283778</v>
      </c>
      <c r="G142">
        <f t="shared" si="85"/>
        <v>6.5520977418816075</v>
      </c>
      <c r="H142">
        <f t="shared" si="85"/>
        <v>6.9240560033941447</v>
      </c>
      <c r="I142">
        <f t="shared" si="85"/>
        <v>7.6476419770570745</v>
      </c>
      <c r="J142">
        <f t="shared" si="85"/>
        <v>8.0692744575159949</v>
      </c>
      <c r="K142">
        <f t="shared" si="85"/>
        <v>8.7967529632444492</v>
      </c>
      <c r="L142">
        <f t="shared" si="85"/>
        <v>10.296230151026906</v>
      </c>
      <c r="M142">
        <f t="shared" si="85"/>
        <v>10.903093791039305</v>
      </c>
      <c r="N142">
        <f t="shared" si="85"/>
        <v>14.801714169104145</v>
      </c>
    </row>
    <row r="143" spans="2:14" x14ac:dyDescent="0.25">
      <c r="B143" s="4">
        <v>257</v>
      </c>
      <c r="C143" s="4">
        <v>229</v>
      </c>
      <c r="E143">
        <f t="shared" ref="E143:N143" si="86">(E$54/((E96*E$54)+$H$27))</f>
        <v>3.5306512261346996</v>
      </c>
      <c r="F143">
        <f t="shared" si="86"/>
        <v>3.967653326049998</v>
      </c>
      <c r="G143">
        <f t="shared" si="86"/>
        <v>4.285946006646232</v>
      </c>
      <c r="H143">
        <f t="shared" si="86"/>
        <v>4.5281153450051495</v>
      </c>
      <c r="I143">
        <f t="shared" si="86"/>
        <v>4.9988681197852669</v>
      </c>
      <c r="J143">
        <f t="shared" si="86"/>
        <v>5.2729624755548237</v>
      </c>
      <c r="K143">
        <f t="shared" si="86"/>
        <v>5.7455132778749132</v>
      </c>
      <c r="L143">
        <f t="shared" si="86"/>
        <v>6.7180683014893958</v>
      </c>
      <c r="M143">
        <f t="shared" si="86"/>
        <v>7.11111768315675</v>
      </c>
      <c r="N143">
        <f t="shared" si="86"/>
        <v>9.6284860230594873</v>
      </c>
    </row>
    <row r="144" spans="2:14" x14ac:dyDescent="0.25">
      <c r="B144" s="4">
        <v>373</v>
      </c>
      <c r="C144" s="4">
        <v>436</v>
      </c>
      <c r="E144">
        <f t="shared" ref="E144:N144" si="87">(E$54/((E97*E$54)+$H$27))</f>
        <v>4.561835894812714</v>
      </c>
      <c r="F144">
        <f t="shared" si="87"/>
        <v>5.1277611618482286</v>
      </c>
      <c r="G144">
        <f t="shared" si="87"/>
        <v>5.540134917250942</v>
      </c>
      <c r="H144">
        <f t="shared" si="87"/>
        <v>5.853986013986014</v>
      </c>
      <c r="I144">
        <f t="shared" si="87"/>
        <v>6.4643314095559203</v>
      </c>
      <c r="J144">
        <f t="shared" si="87"/>
        <v>6.8198556168436877</v>
      </c>
      <c r="K144">
        <f t="shared" si="87"/>
        <v>7.4330587846693152</v>
      </c>
      <c r="L144">
        <f t="shared" si="87"/>
        <v>8.6961413557675122</v>
      </c>
      <c r="M144">
        <f t="shared" si="87"/>
        <v>9.2070068177704467</v>
      </c>
      <c r="N144">
        <f t="shared" si="87"/>
        <v>12.484452597199232</v>
      </c>
    </row>
    <row r="145" spans="1:25" x14ac:dyDescent="0.25">
      <c r="B145" s="4">
        <v>752</v>
      </c>
      <c r="C145" s="4">
        <v>1440</v>
      </c>
      <c r="E145">
        <f t="shared" ref="E145:N145" si="88">(E$54/((E98*E$54)+$H$27))</f>
        <v>7.1827613727055075</v>
      </c>
      <c r="F145">
        <f t="shared" si="88"/>
        <v>8.0789946140035909</v>
      </c>
      <c r="G145">
        <f t="shared" si="88"/>
        <v>8.7327770230933428</v>
      </c>
      <c r="H145">
        <f t="shared" si="88"/>
        <v>9.2307692307692299</v>
      </c>
      <c r="I145">
        <f t="shared" si="88"/>
        <v>10.200226671703817</v>
      </c>
      <c r="J145">
        <f t="shared" si="88"/>
        <v>10.76555023923445</v>
      </c>
      <c r="K145">
        <f t="shared" si="88"/>
        <v>11.741682974559689</v>
      </c>
      <c r="L145">
        <f t="shared" si="88"/>
        <v>13.75661375661376</v>
      </c>
      <c r="M145">
        <f t="shared" si="88"/>
        <v>14.573213046495491</v>
      </c>
      <c r="N145">
        <f t="shared" si="88"/>
        <v>19.834710743801654</v>
      </c>
    </row>
    <row r="148" spans="1:25" x14ac:dyDescent="0.25">
      <c r="B148" s="2"/>
      <c r="C148" s="2"/>
      <c r="D148" s="2"/>
      <c r="E148" s="3" t="s">
        <v>28</v>
      </c>
      <c r="F148" s="3"/>
      <c r="G148" s="2"/>
      <c r="H148" s="2"/>
      <c r="I148" s="2"/>
      <c r="J148" s="2"/>
      <c r="K148" s="2"/>
      <c r="L148" s="2"/>
      <c r="M148" s="2"/>
    </row>
    <row r="149" spans="1:25" x14ac:dyDescent="0.25">
      <c r="B149" s="2"/>
      <c r="C149" s="2"/>
      <c r="D149" s="2"/>
      <c r="E149" s="3" t="s">
        <v>18</v>
      </c>
      <c r="F149" s="3"/>
      <c r="G149" s="2"/>
      <c r="H149" s="6">
        <v>0.24</v>
      </c>
      <c r="J149" s="2"/>
      <c r="K149" s="2"/>
      <c r="L149" s="2"/>
      <c r="M149" s="2"/>
    </row>
    <row r="150" spans="1:25" x14ac:dyDescent="0.25">
      <c r="B150" s="2"/>
      <c r="C150" s="2"/>
      <c r="D150" s="2"/>
      <c r="E150" s="3">
        <f>$H$149+(E151/E152*0.03)</f>
        <v>0.27</v>
      </c>
      <c r="F150" s="3">
        <f t="shared" ref="F150:N150" si="89">$H$149+(F151/F152*0.03)</f>
        <v>0.27428571428571424</v>
      </c>
      <c r="G150" s="3">
        <f t="shared" si="89"/>
        <v>0.27749999999999997</v>
      </c>
      <c r="H150" s="3">
        <f t="shared" si="89"/>
        <v>0.27999999999999997</v>
      </c>
      <c r="I150" s="3">
        <f t="shared" si="89"/>
        <v>0.28499999999999998</v>
      </c>
      <c r="J150" s="3">
        <f t="shared" si="89"/>
        <v>0.28799999999999998</v>
      </c>
      <c r="K150" s="3">
        <f t="shared" si="89"/>
        <v>0.29333333333333333</v>
      </c>
      <c r="L150" s="3">
        <f t="shared" si="89"/>
        <v>0.30499999999999999</v>
      </c>
      <c r="M150" s="3">
        <f t="shared" si="89"/>
        <v>0.31</v>
      </c>
      <c r="N150" s="3">
        <f t="shared" si="89"/>
        <v>0.34666666666666668</v>
      </c>
      <c r="P150" s="4">
        <v>1</v>
      </c>
      <c r="Q150" s="4">
        <v>8</v>
      </c>
      <c r="R150" s="4">
        <v>5</v>
      </c>
      <c r="S150" s="4">
        <v>4</v>
      </c>
      <c r="T150" s="4">
        <v>3</v>
      </c>
      <c r="U150" s="4">
        <v>16</v>
      </c>
      <c r="V150" s="4">
        <v>16</v>
      </c>
      <c r="W150" s="4">
        <v>19.5</v>
      </c>
      <c r="X150" s="4">
        <v>21</v>
      </c>
      <c r="Y150" s="4">
        <v>32</v>
      </c>
    </row>
    <row r="151" spans="1:25" x14ac:dyDescent="0.25">
      <c r="B151" s="2"/>
      <c r="C151" s="2"/>
      <c r="D151" s="2"/>
      <c r="E151" s="4">
        <v>1</v>
      </c>
      <c r="F151" s="4">
        <v>8</v>
      </c>
      <c r="G151" s="4">
        <v>5</v>
      </c>
      <c r="H151" s="4">
        <v>4</v>
      </c>
      <c r="I151" s="4">
        <v>3</v>
      </c>
      <c r="J151" s="4">
        <v>16</v>
      </c>
      <c r="K151" s="4">
        <v>16</v>
      </c>
      <c r="L151" s="4">
        <v>19.5</v>
      </c>
      <c r="M151" s="4">
        <v>21</v>
      </c>
      <c r="N151" s="4">
        <v>32</v>
      </c>
      <c r="P151" s="4">
        <v>1</v>
      </c>
      <c r="Q151" s="4">
        <v>7</v>
      </c>
      <c r="R151" s="4">
        <v>4</v>
      </c>
      <c r="S151" s="4">
        <v>3</v>
      </c>
      <c r="T151" s="4">
        <v>2</v>
      </c>
      <c r="U151" s="4">
        <v>10</v>
      </c>
      <c r="V151" s="4">
        <v>9</v>
      </c>
      <c r="W151" s="4">
        <v>9</v>
      </c>
      <c r="X151" s="4">
        <v>9</v>
      </c>
      <c r="Y151" s="4">
        <v>9</v>
      </c>
    </row>
    <row r="152" spans="1:25" x14ac:dyDescent="0.25">
      <c r="B152" s="2"/>
      <c r="C152" s="2"/>
      <c r="D152" s="2"/>
      <c r="E152" s="4">
        <v>1</v>
      </c>
      <c r="F152" s="4">
        <v>7</v>
      </c>
      <c r="G152" s="4">
        <v>4</v>
      </c>
      <c r="H152" s="4">
        <v>3</v>
      </c>
      <c r="I152" s="4">
        <v>2</v>
      </c>
      <c r="J152" s="4">
        <v>10</v>
      </c>
      <c r="K152" s="4">
        <v>9</v>
      </c>
      <c r="L152" s="4">
        <v>9</v>
      </c>
      <c r="M152" s="4">
        <v>9</v>
      </c>
      <c r="N152" s="4">
        <v>9</v>
      </c>
    </row>
    <row r="153" spans="1:25" x14ac:dyDescent="0.25">
      <c r="D153" s="4" t="s">
        <v>0</v>
      </c>
      <c r="E153" s="4">
        <v>720</v>
      </c>
      <c r="F153">
        <f>F154*F151/F152</f>
        <v>822.85714285714289</v>
      </c>
      <c r="G153" s="4">
        <v>900</v>
      </c>
      <c r="H153" s="4">
        <v>960</v>
      </c>
      <c r="I153" s="4">
        <v>1080</v>
      </c>
      <c r="J153" s="4">
        <v>1152</v>
      </c>
      <c r="K153" s="4">
        <v>1280</v>
      </c>
      <c r="L153" s="4">
        <v>1560</v>
      </c>
      <c r="M153" s="4">
        <v>1680</v>
      </c>
      <c r="N153">
        <f>N154*N151/N152</f>
        <v>2560</v>
      </c>
      <c r="P153" s="1" t="str">
        <f>xml!M2</f>
        <v>752-1440</v>
      </c>
      <c r="R153" t="s">
        <v>16</v>
      </c>
    </row>
    <row r="154" spans="1:25" x14ac:dyDescent="0.25">
      <c r="B154" s="2" t="s">
        <v>0</v>
      </c>
      <c r="C154" s="2" t="s">
        <v>1</v>
      </c>
      <c r="D154" s="4" t="s">
        <v>1</v>
      </c>
      <c r="E154" s="4">
        <v>720</v>
      </c>
      <c r="F154" s="4">
        <v>720</v>
      </c>
      <c r="G154" s="4">
        <v>720</v>
      </c>
      <c r="H154" s="4">
        <v>720</v>
      </c>
      <c r="I154" s="4">
        <v>720</v>
      </c>
      <c r="J154" s="4">
        <v>720</v>
      </c>
      <c r="K154" s="4">
        <v>720</v>
      </c>
      <c r="L154" s="4">
        <v>720</v>
      </c>
      <c r="M154" s="4">
        <v>720</v>
      </c>
      <c r="N154" s="4">
        <v>720</v>
      </c>
      <c r="P154" t="str">
        <f ca="1">"&lt;itemSize&gt;"&amp;(OFFSET(E$155,(MATCH($P$7,$AG$3:$AG$19,0)-1),0))&amp;" "&amp;E150&amp;"&lt;/itemSize&gt;"</f>
        <v>&lt;itemSize&gt;0.141 0.27&lt;/itemSize&gt;</v>
      </c>
      <c r="Q154" t="str">
        <f t="shared" ref="Q154:Y154" ca="1" si="90">"&lt;itemSize&gt;"&amp;(OFFSET(F$155,(MATCH($P$7,$AG$3:$AG$19,0)-1),0))&amp;" "&amp;F150&amp;"&lt;/itemSize&gt;"</f>
        <v>&lt;itemSize&gt;0.125333333333333 0.274285714285714&lt;/itemSize&gt;</v>
      </c>
      <c r="R154" t="str">
        <f t="shared" ca="1" si="90"/>
        <v>&lt;itemSize&gt;0.115933333333333 0.2775&lt;/itemSize&gt;</v>
      </c>
      <c r="S154" t="str">
        <f t="shared" ca="1" si="90"/>
        <v>&lt;itemSize&gt;0.109666666666667 0.28&lt;/itemSize&gt;</v>
      </c>
      <c r="T154" t="str">
        <f t="shared" ca="1" si="90"/>
        <v>&lt;itemSize&gt;0.0992222222222222 0.285&lt;/itemSize&gt;</v>
      </c>
      <c r="U154" t="str">
        <f t="shared" ca="1" si="90"/>
        <v>&lt;itemSize&gt;0.094 0.288&lt;/itemSize&gt;</v>
      </c>
      <c r="V154" t="str">
        <f t="shared" ca="1" si="90"/>
        <v>&lt;itemSize&gt;0.0861666666666667 0.293333333333333&lt;/itemSize&gt;</v>
      </c>
      <c r="W154" t="str">
        <f t="shared" ca="1" si="90"/>
        <v>&lt;itemSize&gt;0.0735128205128205 0.305&lt;/itemSize&gt;</v>
      </c>
      <c r="X154" t="str">
        <f t="shared" ca="1" si="90"/>
        <v>&lt;itemSize&gt;0.0693809523809524 0.31&lt;/itemSize&gt;</v>
      </c>
      <c r="Y154" t="str">
        <f t="shared" ca="1" si="90"/>
        <v>&lt;itemSize&gt;0.0509166666666667 0.346666666666667&lt;/itemSize&gt;</v>
      </c>
    </row>
    <row r="155" spans="1:25" x14ac:dyDescent="0.25">
      <c r="A155">
        <f>B155/C155</f>
        <v>1</v>
      </c>
      <c r="B155" s="4">
        <v>1</v>
      </c>
      <c r="C155" s="4">
        <v>1</v>
      </c>
      <c r="E155">
        <f>E$150*E$154*$B155/$C155/E$153</f>
        <v>0.27</v>
      </c>
      <c r="F155">
        <f t="shared" ref="F155:N170" si="91">F$150*F$154*$B155/$C155/F$153</f>
        <v>0.23999999999999996</v>
      </c>
      <c r="G155">
        <f t="shared" si="91"/>
        <v>0.22199999999999998</v>
      </c>
      <c r="H155">
        <f t="shared" si="91"/>
        <v>0.20999999999999996</v>
      </c>
      <c r="I155">
        <f t="shared" si="91"/>
        <v>0.19</v>
      </c>
      <c r="J155">
        <f t="shared" si="91"/>
        <v>0.18</v>
      </c>
      <c r="K155">
        <f t="shared" si="91"/>
        <v>0.16499999999999998</v>
      </c>
      <c r="L155">
        <f t="shared" si="91"/>
        <v>0.14076923076923076</v>
      </c>
      <c r="M155">
        <f t="shared" si="91"/>
        <v>0.13285714285714284</v>
      </c>
      <c r="N155">
        <f t="shared" si="91"/>
        <v>9.7500000000000003E-2</v>
      </c>
      <c r="P155" t="str">
        <f ca="1">"&lt;selectedItemMargins&gt;"&amp;(OFFSET(E$179,(MATCH($P$7,$AG$3:$AG$19,0)-1),0))&amp;" "&amp;(OFFSET(E$179,(MATCH($P$7,$AG$3:$AG$19,0)-1),0))&amp;"&lt;/selectedItemMargins&gt;"</f>
        <v>&lt;selectedItemMargins&gt;0.0282 0.0282&lt;/selectedItemMargins&gt;</v>
      </c>
      <c r="Q155" t="str">
        <f t="shared" ref="Q155:Y155" ca="1" si="92">"&lt;selectedItemMargins&gt;"&amp;(OFFSET(F$179,(MATCH($P$7,$AG$3:$AG$19,0)-1),0))&amp;" "&amp;(OFFSET(F$179,(MATCH($P$7,$AG$3:$AG$19,0)-1),0))&amp;"&lt;/selectedItemMargins&gt;"</f>
        <v>&lt;selectedItemMargins&gt;0.0250666666666667 0.0250666666666667&lt;/selectedItemMargins&gt;</v>
      </c>
      <c r="R155" t="str">
        <f t="shared" ca="1" si="92"/>
        <v>&lt;selectedItemMargins&gt;0.0231866666666667 0.0231866666666667&lt;/selectedItemMargins&gt;</v>
      </c>
      <c r="S155" t="str">
        <f t="shared" ca="1" si="92"/>
        <v>&lt;selectedItemMargins&gt;0.0219333333333333 0.0219333333333333&lt;/selectedItemMargins&gt;</v>
      </c>
      <c r="T155" t="str">
        <f t="shared" ca="1" si="92"/>
        <v>&lt;selectedItemMargins&gt;0.0198444444444444 0.0198444444444444&lt;/selectedItemMargins&gt;</v>
      </c>
      <c r="U155" t="str">
        <f t="shared" ca="1" si="92"/>
        <v>&lt;selectedItemMargins&gt;0.0188 0.0188&lt;/selectedItemMargins&gt;</v>
      </c>
      <c r="V155" t="str">
        <f t="shared" ca="1" si="92"/>
        <v>&lt;selectedItemMargins&gt;0.0172333333333333 0.0172333333333333&lt;/selectedItemMargins&gt;</v>
      </c>
      <c r="W155" t="str">
        <f t="shared" ca="1" si="92"/>
        <v>&lt;selectedItemMargins&gt;0.0147025641025641 0.0147025641025641&lt;/selectedItemMargins&gt;</v>
      </c>
      <c r="X155" t="str">
        <f t="shared" ca="1" si="92"/>
        <v>&lt;selectedItemMargins&gt;0.0138761904761905 0.0138761904761905&lt;/selectedItemMargins&gt;</v>
      </c>
      <c r="Y155" t="str">
        <f t="shared" ca="1" si="92"/>
        <v>&lt;selectedItemMargins&gt;0.0101833333333333 0.0101833333333333&lt;/selectedItemMargins&gt;</v>
      </c>
    </row>
    <row r="156" spans="1:25" x14ac:dyDescent="0.25">
      <c r="A156">
        <f t="shared" ref="A156:A171" si="93">B156/C156</f>
        <v>0.5</v>
      </c>
      <c r="B156" s="4">
        <v>1</v>
      </c>
      <c r="C156" s="4">
        <v>2</v>
      </c>
      <c r="E156">
        <f t="shared" ref="E156:N171" si="94">E$150*E$154*$B156/$C156/E$153</f>
        <v>0.13500000000000001</v>
      </c>
      <c r="F156">
        <f t="shared" si="91"/>
        <v>0.11999999999999998</v>
      </c>
      <c r="G156">
        <f t="shared" si="91"/>
        <v>0.11099999999999999</v>
      </c>
      <c r="H156">
        <f t="shared" si="91"/>
        <v>0.10499999999999998</v>
      </c>
      <c r="I156">
        <f t="shared" si="91"/>
        <v>9.5000000000000001E-2</v>
      </c>
      <c r="J156">
        <f t="shared" si="91"/>
        <v>0.09</v>
      </c>
      <c r="K156">
        <f t="shared" si="91"/>
        <v>8.249999999999999E-2</v>
      </c>
      <c r="L156">
        <f t="shared" si="91"/>
        <v>7.0384615384615379E-2</v>
      </c>
      <c r="M156">
        <f t="shared" si="91"/>
        <v>6.642857142857142E-2</v>
      </c>
      <c r="N156">
        <f t="shared" si="91"/>
        <v>4.8750000000000002E-2</v>
      </c>
      <c r="P156" t="str">
        <f ca="1">"&lt;maxItemCount&gt;"&amp;(OFFSET(E$203,(MATCH($P$7,$AG$3:$AG$19,0)-1),0))&amp;"&lt;/maxItemCount&gt;"</f>
        <v>&lt;maxItemCount&gt;6.45624103299857&lt;/maxItemCount&gt;</v>
      </c>
      <c r="Q156" t="str">
        <f t="shared" ref="Q156:Y156" ca="1" si="95">"&lt;maxItemCount&gt;"&amp;(OFFSET(F$203,(MATCH($P$7,$AG$3:$AG$19,0)-1),0))&amp;"&lt;/maxItemCount&gt;"</f>
        <v>&lt;maxItemCount&gt;7.27346196585514&lt;/maxItemCount&gt;</v>
      </c>
      <c r="R156" t="str">
        <f t="shared" ca="1" si="95"/>
        <v>&lt;maxItemCount&gt;7.8712611509533&lt;/maxItemCount&gt;</v>
      </c>
      <c r="S156" t="str">
        <f t="shared" ca="1" si="95"/>
        <v>&lt;maxItemCount&gt;8.32755031228314&lt;/maxItemCount&gt;</v>
      </c>
      <c r="T156" t="str">
        <f t="shared" ca="1" si="95"/>
        <v>&lt;maxItemCount&gt;9.21816319562991&lt;/maxItemCount&gt;</v>
      </c>
      <c r="U156" t="str">
        <f t="shared" ca="1" si="95"/>
        <v>&lt;maxItemCount&gt;9.73894224266198&lt;/maxItemCount&gt;</v>
      </c>
      <c r="V156" t="str">
        <f t="shared" ca="1" si="95"/>
        <v>&lt;maxItemCount&gt;10.6406561737974&lt;/maxItemCount&gt;</v>
      </c>
      <c r="W156" t="str">
        <f t="shared" ca="1" si="95"/>
        <v>&lt;maxItemCount&gt;12.512030798845&lt;/maxItemCount&gt;</v>
      </c>
      <c r="X156" t="str">
        <f t="shared" ca="1" si="95"/>
        <v>&lt;maxItemCount&gt;13.2743362831858&lt;/maxItemCount&gt;</v>
      </c>
      <c r="Y156" t="str">
        <f t="shared" ca="1" si="95"/>
        <v>&lt;maxItemCount&gt;18.2405472164165&lt;/maxItemCount&gt;</v>
      </c>
    </row>
    <row r="157" spans="1:25" x14ac:dyDescent="0.25">
      <c r="A157">
        <f t="shared" si="93"/>
        <v>0.66666666666666663</v>
      </c>
      <c r="B157" s="4">
        <v>2</v>
      </c>
      <c r="C157" s="4">
        <v>3</v>
      </c>
      <c r="E157">
        <f t="shared" si="94"/>
        <v>0.18</v>
      </c>
      <c r="F157">
        <f t="shared" si="91"/>
        <v>0.15999999999999998</v>
      </c>
      <c r="G157">
        <f t="shared" si="91"/>
        <v>0.14799999999999999</v>
      </c>
      <c r="H157">
        <f t="shared" si="91"/>
        <v>0.13999999999999999</v>
      </c>
      <c r="I157">
        <f t="shared" si="91"/>
        <v>0.12666666666666665</v>
      </c>
      <c r="J157">
        <f t="shared" si="91"/>
        <v>0.11999999999999998</v>
      </c>
      <c r="K157">
        <f t="shared" si="91"/>
        <v>0.10999999999999999</v>
      </c>
      <c r="L157">
        <f t="shared" si="91"/>
        <v>9.3846153846153843E-2</v>
      </c>
      <c r="M157">
        <f t="shared" si="91"/>
        <v>8.8571428571428565E-2</v>
      </c>
      <c r="N157">
        <f t="shared" si="91"/>
        <v>6.5000000000000002E-2</v>
      </c>
    </row>
    <row r="158" spans="1:25" x14ac:dyDescent="0.25">
      <c r="A158">
        <f t="shared" si="93"/>
        <v>0.75</v>
      </c>
      <c r="B158" s="4">
        <v>3</v>
      </c>
      <c r="C158" s="4">
        <v>4</v>
      </c>
      <c r="E158">
        <f t="shared" si="94"/>
        <v>0.20250000000000001</v>
      </c>
      <c r="F158">
        <f t="shared" si="91"/>
        <v>0.17999999999999997</v>
      </c>
      <c r="G158">
        <f t="shared" si="91"/>
        <v>0.16649999999999998</v>
      </c>
      <c r="H158">
        <f t="shared" si="91"/>
        <v>0.1575</v>
      </c>
      <c r="I158">
        <f t="shared" si="91"/>
        <v>0.14249999999999999</v>
      </c>
      <c r="J158">
        <f t="shared" si="91"/>
        <v>0.13499999999999998</v>
      </c>
      <c r="K158">
        <f t="shared" si="91"/>
        <v>0.12374999999999999</v>
      </c>
      <c r="L158">
        <f t="shared" si="91"/>
        <v>0.10557692307692307</v>
      </c>
      <c r="M158">
        <f t="shared" si="91"/>
        <v>9.964285714285713E-2</v>
      </c>
      <c r="N158">
        <f t="shared" si="91"/>
        <v>7.3125000000000009E-2</v>
      </c>
    </row>
    <row r="159" spans="1:25" x14ac:dyDescent="0.25">
      <c r="A159">
        <f t="shared" si="93"/>
        <v>0.6</v>
      </c>
      <c r="B159" s="4">
        <v>3</v>
      </c>
      <c r="C159" s="4">
        <v>5</v>
      </c>
      <c r="E159">
        <f t="shared" si="94"/>
        <v>0.16200000000000003</v>
      </c>
      <c r="F159">
        <f t="shared" si="91"/>
        <v>0.14399999999999999</v>
      </c>
      <c r="G159">
        <f t="shared" si="91"/>
        <v>0.13319999999999999</v>
      </c>
      <c r="H159">
        <f t="shared" si="91"/>
        <v>0.126</v>
      </c>
      <c r="I159">
        <f t="shared" si="91"/>
        <v>0.11399999999999998</v>
      </c>
      <c r="J159">
        <f t="shared" si="91"/>
        <v>0.10799999999999998</v>
      </c>
      <c r="K159">
        <f t="shared" si="91"/>
        <v>9.8999999999999991E-2</v>
      </c>
      <c r="L159">
        <f t="shared" si="91"/>
        <v>8.4461538461538449E-2</v>
      </c>
      <c r="M159">
        <f t="shared" si="91"/>
        <v>7.971428571428571E-2</v>
      </c>
      <c r="N159">
        <f t="shared" si="91"/>
        <v>5.850000000000001E-2</v>
      </c>
    </row>
    <row r="160" spans="1:25" x14ac:dyDescent="0.25">
      <c r="A160">
        <f t="shared" si="93"/>
        <v>1.3333333333333333</v>
      </c>
      <c r="B160" s="4">
        <v>4</v>
      </c>
      <c r="C160" s="4">
        <v>3</v>
      </c>
      <c r="E160">
        <f t="shared" si="94"/>
        <v>0.36</v>
      </c>
      <c r="F160">
        <f t="shared" si="91"/>
        <v>0.31999999999999995</v>
      </c>
      <c r="G160">
        <f t="shared" si="91"/>
        <v>0.29599999999999999</v>
      </c>
      <c r="H160">
        <f t="shared" si="91"/>
        <v>0.27999999999999997</v>
      </c>
      <c r="I160">
        <f t="shared" si="91"/>
        <v>0.2533333333333333</v>
      </c>
      <c r="J160">
        <f t="shared" si="91"/>
        <v>0.23999999999999996</v>
      </c>
      <c r="K160">
        <f t="shared" si="91"/>
        <v>0.21999999999999997</v>
      </c>
      <c r="L160">
        <f t="shared" si="91"/>
        <v>0.18769230769230769</v>
      </c>
      <c r="M160">
        <f t="shared" si="91"/>
        <v>0.17714285714285713</v>
      </c>
      <c r="N160">
        <f t="shared" si="91"/>
        <v>0.13</v>
      </c>
    </row>
    <row r="161" spans="1:14" x14ac:dyDescent="0.25">
      <c r="A161">
        <f t="shared" si="93"/>
        <v>0.7142857142857143</v>
      </c>
      <c r="B161" s="4">
        <v>5</v>
      </c>
      <c r="C161" s="4">
        <v>7</v>
      </c>
      <c r="E161">
        <f t="shared" si="94"/>
        <v>0.19285714285714287</v>
      </c>
      <c r="F161">
        <f t="shared" si="91"/>
        <v>0.1714285714285714</v>
      </c>
      <c r="G161">
        <f t="shared" si="91"/>
        <v>0.15857142857142856</v>
      </c>
      <c r="H161">
        <f t="shared" si="91"/>
        <v>0.14999999999999997</v>
      </c>
      <c r="I161">
        <f t="shared" si="91"/>
        <v>0.13571428571428573</v>
      </c>
      <c r="J161">
        <f t="shared" si="91"/>
        <v>0.12857142857142856</v>
      </c>
      <c r="K161">
        <f t="shared" si="91"/>
        <v>0.11785714285714285</v>
      </c>
      <c r="L161">
        <f t="shared" si="91"/>
        <v>0.10054945054945055</v>
      </c>
      <c r="M161">
        <f t="shared" si="91"/>
        <v>9.4897959183673455E-2</v>
      </c>
      <c r="N161">
        <f t="shared" si="91"/>
        <v>6.9642857142857145E-2</v>
      </c>
    </row>
    <row r="162" spans="1:14" x14ac:dyDescent="0.25">
      <c r="A162">
        <f t="shared" si="93"/>
        <v>0.5892857142857143</v>
      </c>
      <c r="B162" s="4">
        <v>99</v>
      </c>
      <c r="C162" s="4">
        <v>168</v>
      </c>
      <c r="E162">
        <f t="shared" si="94"/>
        <v>0.15910714285714286</v>
      </c>
      <c r="F162">
        <f t="shared" si="91"/>
        <v>0.1414285714285714</v>
      </c>
      <c r="G162">
        <f t="shared" si="91"/>
        <v>0.13082142857142856</v>
      </c>
      <c r="H162">
        <f t="shared" si="91"/>
        <v>0.12374999999999999</v>
      </c>
      <c r="I162">
        <f t="shared" si="91"/>
        <v>0.11196428571428571</v>
      </c>
      <c r="J162">
        <f t="shared" si="91"/>
        <v>0.10607142857142857</v>
      </c>
      <c r="K162">
        <f t="shared" si="91"/>
        <v>9.723214285714285E-2</v>
      </c>
      <c r="L162">
        <f t="shared" si="91"/>
        <v>8.2953296703296694E-2</v>
      </c>
      <c r="M162">
        <f t="shared" si="91"/>
        <v>7.8290816326530607E-2</v>
      </c>
      <c r="N162">
        <f t="shared" si="91"/>
        <v>5.7455357142857141E-2</v>
      </c>
    </row>
    <row r="163" spans="1:14" x14ac:dyDescent="0.25">
      <c r="A163">
        <f t="shared" si="93"/>
        <v>0.61764705882352944</v>
      </c>
      <c r="B163" s="4">
        <v>105</v>
      </c>
      <c r="C163" s="4">
        <v>170</v>
      </c>
      <c r="E163">
        <f t="shared" si="94"/>
        <v>0.16676470588235295</v>
      </c>
      <c r="F163">
        <f t="shared" si="91"/>
        <v>0.14823529411764702</v>
      </c>
      <c r="G163">
        <f t="shared" si="91"/>
        <v>0.13711764705882354</v>
      </c>
      <c r="H163">
        <f t="shared" si="91"/>
        <v>0.12970588235294117</v>
      </c>
      <c r="I163">
        <f t="shared" si="91"/>
        <v>0.11735294117647058</v>
      </c>
      <c r="J163">
        <f t="shared" si="91"/>
        <v>0.11117647058823528</v>
      </c>
      <c r="K163">
        <f t="shared" si="91"/>
        <v>0.10191176470588234</v>
      </c>
      <c r="L163">
        <f t="shared" si="91"/>
        <v>8.6945701357466057E-2</v>
      </c>
      <c r="M163">
        <f t="shared" si="91"/>
        <v>8.2058823529411754E-2</v>
      </c>
      <c r="N163">
        <f t="shared" si="91"/>
        <v>6.0220588235294123E-2</v>
      </c>
    </row>
    <row r="164" spans="1:14" x14ac:dyDescent="0.25">
      <c r="A164">
        <f t="shared" si="93"/>
        <v>1.6716417910447761</v>
      </c>
      <c r="B164" s="4">
        <v>112</v>
      </c>
      <c r="C164" s="4">
        <v>67</v>
      </c>
      <c r="E164">
        <f t="shared" si="94"/>
        <v>0.45134328358208958</v>
      </c>
      <c r="F164">
        <f t="shared" si="91"/>
        <v>0.4011940298507462</v>
      </c>
      <c r="G164">
        <f t="shared" si="91"/>
        <v>0.37110447761194026</v>
      </c>
      <c r="H164">
        <f t="shared" si="91"/>
        <v>0.35104477611940299</v>
      </c>
      <c r="I164">
        <f t="shared" si="91"/>
        <v>0.31761194029850742</v>
      </c>
      <c r="J164">
        <f t="shared" si="91"/>
        <v>0.30089552238805972</v>
      </c>
      <c r="K164">
        <f t="shared" si="91"/>
        <v>0.27582089552238803</v>
      </c>
      <c r="L164">
        <f t="shared" si="91"/>
        <v>0.23531572904707235</v>
      </c>
      <c r="M164">
        <f t="shared" si="91"/>
        <v>0.22208955223880594</v>
      </c>
      <c r="N164">
        <f t="shared" si="91"/>
        <v>0.16298507462686568</v>
      </c>
    </row>
    <row r="165" spans="1:14" x14ac:dyDescent="0.25">
      <c r="A165">
        <f t="shared" si="93"/>
        <v>0.78488372093023251</v>
      </c>
      <c r="B165" s="4">
        <v>135</v>
      </c>
      <c r="C165" s="4">
        <v>172</v>
      </c>
      <c r="E165">
        <f t="shared" si="94"/>
        <v>0.2119186046511628</v>
      </c>
      <c r="F165">
        <f t="shared" si="91"/>
        <v>0.1883720930232558</v>
      </c>
      <c r="G165">
        <f t="shared" si="91"/>
        <v>0.17424418604651162</v>
      </c>
      <c r="H165">
        <f t="shared" si="91"/>
        <v>0.16482558139534881</v>
      </c>
      <c r="I165">
        <f t="shared" si="91"/>
        <v>0.14912790697674416</v>
      </c>
      <c r="J165">
        <f t="shared" si="91"/>
        <v>0.14127906976744187</v>
      </c>
      <c r="K165">
        <f t="shared" si="91"/>
        <v>0.12950581395348837</v>
      </c>
      <c r="L165">
        <f t="shared" si="91"/>
        <v>0.11048747763864043</v>
      </c>
      <c r="M165">
        <f t="shared" si="91"/>
        <v>0.10427740863787374</v>
      </c>
      <c r="N165">
        <f t="shared" si="91"/>
        <v>7.6526162790697669E-2</v>
      </c>
    </row>
    <row r="166" spans="1:14" x14ac:dyDescent="0.25">
      <c r="A166">
        <f t="shared" si="93"/>
        <v>0.6908212560386473</v>
      </c>
      <c r="B166" s="4">
        <v>143</v>
      </c>
      <c r="C166" s="4">
        <v>207</v>
      </c>
      <c r="E166">
        <f t="shared" si="94"/>
        <v>0.18652173913043479</v>
      </c>
      <c r="F166">
        <f t="shared" si="91"/>
        <v>0.16579710144927534</v>
      </c>
      <c r="G166">
        <f t="shared" si="91"/>
        <v>0.15336231884057971</v>
      </c>
      <c r="H166">
        <f t="shared" si="91"/>
        <v>0.14507246376811592</v>
      </c>
      <c r="I166">
        <f t="shared" si="91"/>
        <v>0.13125603864734298</v>
      </c>
      <c r="J166">
        <f t="shared" si="91"/>
        <v>0.12434782608695653</v>
      </c>
      <c r="K166">
        <f t="shared" si="91"/>
        <v>0.11398550724637682</v>
      </c>
      <c r="L166">
        <f t="shared" si="91"/>
        <v>9.724637681159419E-2</v>
      </c>
      <c r="M166">
        <f t="shared" si="91"/>
        <v>9.178053830227742E-2</v>
      </c>
      <c r="N166">
        <f t="shared" si="91"/>
        <v>6.7355072463768123E-2</v>
      </c>
    </row>
    <row r="167" spans="1:14" x14ac:dyDescent="0.25">
      <c r="A167">
        <f t="shared" si="93"/>
        <v>0.70731707317073167</v>
      </c>
      <c r="B167" s="4">
        <v>145</v>
      </c>
      <c r="C167" s="4">
        <v>205</v>
      </c>
      <c r="E167">
        <f t="shared" si="94"/>
        <v>0.19097560975609756</v>
      </c>
      <c r="F167">
        <f t="shared" si="91"/>
        <v>0.16975609756097557</v>
      </c>
      <c r="G167">
        <f t="shared" si="91"/>
        <v>0.15702439024390244</v>
      </c>
      <c r="H167">
        <f t="shared" si="91"/>
        <v>0.14853658536585362</v>
      </c>
      <c r="I167">
        <f t="shared" si="91"/>
        <v>0.13439024390243903</v>
      </c>
      <c r="J167">
        <f t="shared" si="91"/>
        <v>0.12731707317073171</v>
      </c>
      <c r="K167">
        <f t="shared" si="91"/>
        <v>0.11670731707317072</v>
      </c>
      <c r="L167">
        <f t="shared" si="91"/>
        <v>9.9568480300187612E-2</v>
      </c>
      <c r="M167">
        <f t="shared" si="91"/>
        <v>9.3972125435540066E-2</v>
      </c>
      <c r="N167">
        <f t="shared" si="91"/>
        <v>6.8963414634146333E-2</v>
      </c>
    </row>
    <row r="168" spans="1:14" x14ac:dyDescent="0.25">
      <c r="A168">
        <f t="shared" si="93"/>
        <v>0.71470588235294119</v>
      </c>
      <c r="B168" s="4">
        <v>243</v>
      </c>
      <c r="C168" s="4">
        <v>340</v>
      </c>
      <c r="E168">
        <f t="shared" si="94"/>
        <v>0.19297058823529412</v>
      </c>
      <c r="F168">
        <f t="shared" si="91"/>
        <v>0.17152941176470585</v>
      </c>
      <c r="G168">
        <f t="shared" si="91"/>
        <v>0.15866470588235293</v>
      </c>
      <c r="H168">
        <f t="shared" si="91"/>
        <v>0.15008823529411763</v>
      </c>
      <c r="I168">
        <f t="shared" si="91"/>
        <v>0.13579411764705882</v>
      </c>
      <c r="J168">
        <f t="shared" si="91"/>
        <v>0.12864705882352942</v>
      </c>
      <c r="K168">
        <f t="shared" si="91"/>
        <v>0.11792647058823529</v>
      </c>
      <c r="L168">
        <f t="shared" si="91"/>
        <v>0.10060859728506787</v>
      </c>
      <c r="M168">
        <f t="shared" si="91"/>
        <v>9.4953781512605043E-2</v>
      </c>
      <c r="N168">
        <f t="shared" si="91"/>
        <v>6.968382352941177E-2</v>
      </c>
    </row>
    <row r="169" spans="1:14" x14ac:dyDescent="0.25">
      <c r="A169">
        <f t="shared" si="93"/>
        <v>1.1222707423580787</v>
      </c>
      <c r="B169" s="4">
        <v>257</v>
      </c>
      <c r="C169" s="4">
        <v>229</v>
      </c>
      <c r="E169">
        <f t="shared" si="94"/>
        <v>0.30301310043668123</v>
      </c>
      <c r="F169">
        <f t="shared" si="91"/>
        <v>0.26934497816593883</v>
      </c>
      <c r="G169">
        <f t="shared" si="91"/>
        <v>0.24914410480349344</v>
      </c>
      <c r="H169">
        <f t="shared" si="91"/>
        <v>0.23567685589519644</v>
      </c>
      <c r="I169">
        <f t="shared" si="91"/>
        <v>0.2132314410480349</v>
      </c>
      <c r="J169">
        <f t="shared" si="91"/>
        <v>0.20200873362445415</v>
      </c>
      <c r="K169">
        <f t="shared" si="91"/>
        <v>0.18517467248908295</v>
      </c>
      <c r="L169">
        <f t="shared" si="91"/>
        <v>0.15798118911656028</v>
      </c>
      <c r="M169">
        <f t="shared" si="91"/>
        <v>0.149101684341859</v>
      </c>
      <c r="N169">
        <f t="shared" si="91"/>
        <v>0.10942139737991267</v>
      </c>
    </row>
    <row r="170" spans="1:14" x14ac:dyDescent="0.25">
      <c r="A170">
        <f t="shared" si="93"/>
        <v>0.85550458715596334</v>
      </c>
      <c r="B170" s="4">
        <v>373</v>
      </c>
      <c r="C170" s="4">
        <v>436</v>
      </c>
      <c r="E170">
        <f t="shared" si="94"/>
        <v>0.23098623853211009</v>
      </c>
      <c r="F170">
        <f t="shared" si="91"/>
        <v>0.20532110091743117</v>
      </c>
      <c r="G170">
        <f t="shared" si="91"/>
        <v>0.18992201834862385</v>
      </c>
      <c r="H170">
        <f t="shared" si="91"/>
        <v>0.17965596330275227</v>
      </c>
      <c r="I170">
        <f t="shared" si="91"/>
        <v>0.16254587155963302</v>
      </c>
      <c r="J170">
        <f t="shared" si="91"/>
        <v>0.1539908256880734</v>
      </c>
      <c r="K170">
        <f t="shared" si="91"/>
        <v>0.14115825688073394</v>
      </c>
      <c r="L170">
        <f t="shared" si="91"/>
        <v>0.1204287226534933</v>
      </c>
      <c r="M170">
        <f t="shared" si="91"/>
        <v>0.11365989515072082</v>
      </c>
      <c r="N170">
        <f t="shared" si="91"/>
        <v>8.3411697247706432E-2</v>
      </c>
    </row>
    <row r="171" spans="1:14" x14ac:dyDescent="0.25">
      <c r="A171">
        <f t="shared" si="93"/>
        <v>0.52222222222222225</v>
      </c>
      <c r="B171" s="4">
        <v>752</v>
      </c>
      <c r="C171" s="4">
        <v>1440</v>
      </c>
      <c r="E171">
        <f t="shared" si="94"/>
        <v>0.14100000000000001</v>
      </c>
      <c r="F171">
        <f t="shared" si="94"/>
        <v>0.12533333333333332</v>
      </c>
      <c r="G171">
        <f t="shared" si="94"/>
        <v>0.11593333333333332</v>
      </c>
      <c r="H171">
        <f t="shared" si="94"/>
        <v>0.10966666666666665</v>
      </c>
      <c r="I171">
        <f t="shared" si="94"/>
        <v>9.9222222222222226E-2</v>
      </c>
      <c r="J171">
        <f t="shared" si="94"/>
        <v>9.4E-2</v>
      </c>
      <c r="K171">
        <f t="shared" si="94"/>
        <v>8.6166666666666655E-2</v>
      </c>
      <c r="L171">
        <f t="shared" si="94"/>
        <v>7.3512820512820515E-2</v>
      </c>
      <c r="M171">
        <f t="shared" si="94"/>
        <v>6.9380952380952376E-2</v>
      </c>
      <c r="N171">
        <f t="shared" si="94"/>
        <v>5.0916666666666666E-2</v>
      </c>
    </row>
    <row r="174" spans="1:14" x14ac:dyDescent="0.25">
      <c r="E174" s="3" t="s">
        <v>19</v>
      </c>
      <c r="F174" s="3"/>
      <c r="H174" s="7">
        <v>10</v>
      </c>
      <c r="I174" t="s">
        <v>2</v>
      </c>
      <c r="J174" s="8" t="s">
        <v>3</v>
      </c>
      <c r="L174" s="7">
        <v>1.5</v>
      </c>
    </row>
    <row r="175" spans="1:14" x14ac:dyDescent="0.25">
      <c r="E175" s="4">
        <v>1</v>
      </c>
      <c r="F175" s="4">
        <v>8</v>
      </c>
      <c r="G175" s="4">
        <v>5</v>
      </c>
      <c r="H175" s="4">
        <v>4</v>
      </c>
      <c r="I175" s="4">
        <v>3</v>
      </c>
      <c r="J175" s="4">
        <v>16</v>
      </c>
      <c r="K175" s="4">
        <v>16</v>
      </c>
      <c r="L175" s="4">
        <v>19.5</v>
      </c>
      <c r="M175" s="4">
        <v>21</v>
      </c>
      <c r="N175" s="4">
        <v>32</v>
      </c>
    </row>
    <row r="176" spans="1:14" x14ac:dyDescent="0.25">
      <c r="E176" s="4">
        <v>1</v>
      </c>
      <c r="F176" s="4">
        <v>7</v>
      </c>
      <c r="G176" s="4">
        <v>4</v>
      </c>
      <c r="H176" s="4">
        <v>3</v>
      </c>
      <c r="I176" s="4">
        <v>2</v>
      </c>
      <c r="J176" s="4">
        <v>10</v>
      </c>
      <c r="K176" s="4">
        <v>9</v>
      </c>
      <c r="L176" s="4">
        <v>9</v>
      </c>
      <c r="M176" s="4">
        <v>9</v>
      </c>
      <c r="N176" s="4">
        <v>9</v>
      </c>
    </row>
    <row r="177" spans="2:14" x14ac:dyDescent="0.25">
      <c r="B177" s="2"/>
      <c r="C177" s="2"/>
      <c r="D177" s="4" t="s">
        <v>0</v>
      </c>
      <c r="E177" s="4">
        <v>720</v>
      </c>
      <c r="F177">
        <f>F178*F175/F176</f>
        <v>822.85714285714289</v>
      </c>
      <c r="G177" s="4">
        <v>900</v>
      </c>
      <c r="H177" s="4">
        <v>960</v>
      </c>
      <c r="I177" s="4">
        <v>1080</v>
      </c>
      <c r="J177" s="4">
        <v>1152</v>
      </c>
      <c r="K177" s="4">
        <v>1280</v>
      </c>
      <c r="L177" s="4">
        <v>1560</v>
      </c>
      <c r="M177" s="4">
        <v>1680</v>
      </c>
      <c r="N177">
        <f>N178*N175/N176</f>
        <v>2560</v>
      </c>
    </row>
    <row r="178" spans="2:14" x14ac:dyDescent="0.25">
      <c r="B178" s="2" t="s">
        <v>0</v>
      </c>
      <c r="C178" s="2" t="s">
        <v>1</v>
      </c>
      <c r="D178" s="4" t="s">
        <v>1</v>
      </c>
      <c r="E178" s="4">
        <v>720</v>
      </c>
      <c r="F178" s="4">
        <v>720</v>
      </c>
      <c r="G178" s="4">
        <v>720</v>
      </c>
      <c r="H178" s="4">
        <v>720</v>
      </c>
      <c r="I178" s="4">
        <v>720</v>
      </c>
      <c r="J178" s="4">
        <v>720</v>
      </c>
      <c r="K178" s="4">
        <v>720</v>
      </c>
      <c r="L178" s="4">
        <v>720</v>
      </c>
      <c r="M178" s="4">
        <v>720</v>
      </c>
      <c r="N178" s="4">
        <v>720</v>
      </c>
    </row>
    <row r="179" spans="2:14" x14ac:dyDescent="0.25">
      <c r="B179" s="4">
        <v>1</v>
      </c>
      <c r="C179" s="4">
        <v>1</v>
      </c>
      <c r="E179">
        <f t="shared" ref="E179:N179" si="96">(E155*$L$27/2)-(E155/2)</f>
        <v>5.3999999999999992E-2</v>
      </c>
      <c r="F179">
        <f t="shared" si="96"/>
        <v>4.7999999999999973E-2</v>
      </c>
      <c r="G179">
        <f t="shared" si="96"/>
        <v>4.4399999999999995E-2</v>
      </c>
      <c r="H179">
        <f t="shared" si="96"/>
        <v>4.1999999999999982E-2</v>
      </c>
      <c r="I179">
        <f t="shared" si="96"/>
        <v>3.7999999999999978E-2</v>
      </c>
      <c r="J179">
        <f t="shared" si="96"/>
        <v>3.6000000000000004E-2</v>
      </c>
      <c r="K179">
        <f t="shared" si="96"/>
        <v>3.2999999999999988E-2</v>
      </c>
      <c r="L179">
        <f t="shared" si="96"/>
        <v>2.815384615384614E-2</v>
      </c>
      <c r="M179">
        <f t="shared" si="96"/>
        <v>2.6571428571428565E-2</v>
      </c>
      <c r="N179">
        <f t="shared" si="96"/>
        <v>1.949999999999999E-2</v>
      </c>
    </row>
    <row r="180" spans="2:14" x14ac:dyDescent="0.25">
      <c r="B180" s="4">
        <v>1</v>
      </c>
      <c r="C180" s="4">
        <v>2</v>
      </c>
      <c r="E180">
        <f t="shared" ref="E180:N180" si="97">(E156*$L$27/2)-(E156/2)</f>
        <v>2.6999999999999996E-2</v>
      </c>
      <c r="F180">
        <f t="shared" si="97"/>
        <v>2.3999999999999987E-2</v>
      </c>
      <c r="G180">
        <f t="shared" si="97"/>
        <v>2.2199999999999998E-2</v>
      </c>
      <c r="H180">
        <f t="shared" si="97"/>
        <v>2.0999999999999991E-2</v>
      </c>
      <c r="I180">
        <f t="shared" si="97"/>
        <v>1.8999999999999989E-2</v>
      </c>
      <c r="J180">
        <f t="shared" si="97"/>
        <v>1.8000000000000002E-2</v>
      </c>
      <c r="K180">
        <f t="shared" si="97"/>
        <v>1.6499999999999994E-2</v>
      </c>
      <c r="L180">
        <f t="shared" si="97"/>
        <v>1.407692307692307E-2</v>
      </c>
      <c r="M180">
        <f t="shared" si="97"/>
        <v>1.3285714285714283E-2</v>
      </c>
      <c r="N180">
        <f t="shared" si="97"/>
        <v>9.7499999999999948E-3</v>
      </c>
    </row>
    <row r="181" spans="2:14" x14ac:dyDescent="0.25">
      <c r="B181" s="4">
        <v>2</v>
      </c>
      <c r="C181" s="4">
        <v>3</v>
      </c>
      <c r="E181">
        <f t="shared" ref="E181:N181" si="98">(E157*$L$27/2)-(E157/2)</f>
        <v>3.6000000000000004E-2</v>
      </c>
      <c r="F181">
        <f t="shared" si="98"/>
        <v>3.1999999999999987E-2</v>
      </c>
      <c r="G181">
        <f t="shared" si="98"/>
        <v>2.9599999999999987E-2</v>
      </c>
      <c r="H181">
        <f t="shared" si="98"/>
        <v>2.7999999999999997E-2</v>
      </c>
      <c r="I181">
        <f t="shared" si="98"/>
        <v>2.5333333333333319E-2</v>
      </c>
      <c r="J181">
        <f t="shared" si="98"/>
        <v>2.3999999999999987E-2</v>
      </c>
      <c r="K181">
        <f t="shared" si="98"/>
        <v>2.1999999999999992E-2</v>
      </c>
      <c r="L181">
        <f t="shared" si="98"/>
        <v>1.8769230769230767E-2</v>
      </c>
      <c r="M181">
        <f t="shared" si="98"/>
        <v>1.771428571428571E-2</v>
      </c>
      <c r="N181">
        <f t="shared" si="98"/>
        <v>1.2999999999999998E-2</v>
      </c>
    </row>
    <row r="182" spans="2:14" x14ac:dyDescent="0.25">
      <c r="B182" s="4">
        <v>3</v>
      </c>
      <c r="C182" s="4">
        <v>4</v>
      </c>
      <c r="E182">
        <f t="shared" ref="E182:N182" si="99">(E158*$L$27/2)-(E158/2)</f>
        <v>4.049999999999998E-2</v>
      </c>
      <c r="F182">
        <f t="shared" si="99"/>
        <v>3.599999999999999E-2</v>
      </c>
      <c r="G182">
        <f t="shared" si="99"/>
        <v>3.3299999999999982E-2</v>
      </c>
      <c r="H182">
        <f t="shared" si="99"/>
        <v>3.1499999999999986E-2</v>
      </c>
      <c r="I182">
        <f t="shared" si="99"/>
        <v>2.8499999999999998E-2</v>
      </c>
      <c r="J182">
        <f t="shared" si="99"/>
        <v>2.6999999999999996E-2</v>
      </c>
      <c r="K182">
        <f t="shared" si="99"/>
        <v>2.4749999999999987E-2</v>
      </c>
      <c r="L182">
        <f t="shared" si="99"/>
        <v>2.1115384615384605E-2</v>
      </c>
      <c r="M182">
        <f t="shared" si="99"/>
        <v>1.9928571428571427E-2</v>
      </c>
      <c r="N182">
        <f t="shared" si="99"/>
        <v>1.4624999999999999E-2</v>
      </c>
    </row>
    <row r="183" spans="2:14" x14ac:dyDescent="0.25">
      <c r="B183" s="4">
        <v>3</v>
      </c>
      <c r="C183" s="4">
        <v>5</v>
      </c>
      <c r="E183">
        <f t="shared" ref="E183:N183" si="100">(E159*$L$27/2)-(E159/2)</f>
        <v>3.2399999999999998E-2</v>
      </c>
      <c r="F183">
        <f t="shared" si="100"/>
        <v>2.8799999999999992E-2</v>
      </c>
      <c r="G183">
        <f t="shared" si="100"/>
        <v>2.6639999999999997E-2</v>
      </c>
      <c r="H183">
        <f t="shared" si="100"/>
        <v>2.52E-2</v>
      </c>
      <c r="I183">
        <f t="shared" si="100"/>
        <v>2.2799999999999994E-2</v>
      </c>
      <c r="J183">
        <f t="shared" si="100"/>
        <v>2.1599999999999994E-2</v>
      </c>
      <c r="K183">
        <f t="shared" si="100"/>
        <v>1.9799999999999991E-2</v>
      </c>
      <c r="L183">
        <f t="shared" si="100"/>
        <v>1.6892307692307686E-2</v>
      </c>
      <c r="M183">
        <f t="shared" si="100"/>
        <v>1.5942857142857141E-2</v>
      </c>
      <c r="N183">
        <f t="shared" si="100"/>
        <v>1.1700000000000002E-2</v>
      </c>
    </row>
    <row r="184" spans="2:14" x14ac:dyDescent="0.25">
      <c r="B184" s="4">
        <v>4</v>
      </c>
      <c r="C184" s="4">
        <v>3</v>
      </c>
      <c r="E184">
        <f t="shared" ref="E184:N184" si="101">(E160*$L$27/2)-(E160/2)</f>
        <v>7.2000000000000008E-2</v>
      </c>
      <c r="F184">
        <f t="shared" si="101"/>
        <v>6.3999999999999974E-2</v>
      </c>
      <c r="G184">
        <f t="shared" si="101"/>
        <v>5.9199999999999975E-2</v>
      </c>
      <c r="H184">
        <f t="shared" si="101"/>
        <v>5.5999999999999994E-2</v>
      </c>
      <c r="I184">
        <f t="shared" si="101"/>
        <v>5.0666666666666638E-2</v>
      </c>
      <c r="J184">
        <f t="shared" si="101"/>
        <v>4.7999999999999973E-2</v>
      </c>
      <c r="K184">
        <f t="shared" si="101"/>
        <v>4.3999999999999984E-2</v>
      </c>
      <c r="L184">
        <f t="shared" si="101"/>
        <v>3.7538461538461534E-2</v>
      </c>
      <c r="M184">
        <f t="shared" si="101"/>
        <v>3.542857142857142E-2</v>
      </c>
      <c r="N184">
        <f t="shared" si="101"/>
        <v>2.5999999999999995E-2</v>
      </c>
    </row>
    <row r="185" spans="2:14" x14ac:dyDescent="0.25">
      <c r="B185" s="4">
        <v>5</v>
      </c>
      <c r="C185" s="4">
        <v>7</v>
      </c>
      <c r="E185">
        <f t="shared" ref="E185:N185" si="102">(E161*$L$27/2)-(E161/2)</f>
        <v>3.8571428571428576E-2</v>
      </c>
      <c r="F185">
        <f t="shared" si="102"/>
        <v>3.4285714285714267E-2</v>
      </c>
      <c r="G185">
        <f t="shared" si="102"/>
        <v>3.1714285714285709E-2</v>
      </c>
      <c r="H185">
        <f t="shared" si="102"/>
        <v>2.9999999999999985E-2</v>
      </c>
      <c r="I185">
        <f t="shared" si="102"/>
        <v>2.7142857142857135E-2</v>
      </c>
      <c r="J185">
        <f t="shared" si="102"/>
        <v>2.5714285714285703E-2</v>
      </c>
      <c r="K185">
        <f t="shared" si="102"/>
        <v>2.3571428571428563E-2</v>
      </c>
      <c r="L185">
        <f t="shared" si="102"/>
        <v>2.0109890109890102E-2</v>
      </c>
      <c r="M185">
        <f t="shared" si="102"/>
        <v>1.8979591836734692E-2</v>
      </c>
      <c r="N185">
        <f t="shared" si="102"/>
        <v>1.3928571428571429E-2</v>
      </c>
    </row>
    <row r="186" spans="2:14" x14ac:dyDescent="0.25">
      <c r="B186" s="4">
        <v>99</v>
      </c>
      <c r="C186" s="4">
        <v>168</v>
      </c>
      <c r="E186">
        <f t="shared" ref="E186:N186" si="103">(E162*$L$27/2)-(E162/2)</f>
        <v>3.182142857142857E-2</v>
      </c>
      <c r="F186">
        <f t="shared" si="103"/>
        <v>2.8285714285714275E-2</v>
      </c>
      <c r="G186">
        <f t="shared" si="103"/>
        <v>2.6164285714285709E-2</v>
      </c>
      <c r="H186">
        <f t="shared" si="103"/>
        <v>2.4749999999999987E-2</v>
      </c>
      <c r="I186">
        <f t="shared" si="103"/>
        <v>2.2392857142857131E-2</v>
      </c>
      <c r="J186">
        <f t="shared" si="103"/>
        <v>2.1214285714285713E-2</v>
      </c>
      <c r="K186">
        <f t="shared" si="103"/>
        <v>1.9446428571428559E-2</v>
      </c>
      <c r="L186">
        <f t="shared" si="103"/>
        <v>1.6590659340659335E-2</v>
      </c>
      <c r="M186">
        <f t="shared" si="103"/>
        <v>1.565816326530612E-2</v>
      </c>
      <c r="N186">
        <f t="shared" si="103"/>
        <v>1.1491071428571427E-2</v>
      </c>
    </row>
    <row r="187" spans="2:14" x14ac:dyDescent="0.25">
      <c r="B187" s="4">
        <v>105</v>
      </c>
      <c r="C187" s="4">
        <v>170</v>
      </c>
      <c r="E187">
        <f t="shared" ref="E187:N187" si="104">(E163*$L$27/2)-(E163/2)</f>
        <v>3.3352941176470585E-2</v>
      </c>
      <c r="F187">
        <f t="shared" si="104"/>
        <v>2.9647058823529401E-2</v>
      </c>
      <c r="G187">
        <f t="shared" si="104"/>
        <v>2.7423529411764708E-2</v>
      </c>
      <c r="H187">
        <f t="shared" si="104"/>
        <v>2.5941176470588231E-2</v>
      </c>
      <c r="I187">
        <f t="shared" si="104"/>
        <v>2.3470588235294104E-2</v>
      </c>
      <c r="J187">
        <f t="shared" si="104"/>
        <v>2.2235294117647054E-2</v>
      </c>
      <c r="K187">
        <f t="shared" si="104"/>
        <v>2.0382352941176463E-2</v>
      </c>
      <c r="L187">
        <f t="shared" si="104"/>
        <v>1.7389140271493207E-2</v>
      </c>
      <c r="M187">
        <f t="shared" si="104"/>
        <v>1.6411764705882348E-2</v>
      </c>
      <c r="N187">
        <f t="shared" si="104"/>
        <v>1.2044117647058823E-2</v>
      </c>
    </row>
    <row r="188" spans="2:14" x14ac:dyDescent="0.25">
      <c r="B188" s="4">
        <v>112</v>
      </c>
      <c r="C188" s="4">
        <v>67</v>
      </c>
      <c r="E188">
        <f t="shared" ref="E188:N188" si="105">(E164*$L$27/2)-(E164/2)</f>
        <v>9.02686567164179E-2</v>
      </c>
      <c r="F188">
        <f t="shared" si="105"/>
        <v>8.0238805970149235E-2</v>
      </c>
      <c r="G188">
        <f t="shared" si="105"/>
        <v>7.4220895522388058E-2</v>
      </c>
      <c r="H188">
        <f t="shared" si="105"/>
        <v>7.020895522388057E-2</v>
      </c>
      <c r="I188">
        <f t="shared" si="105"/>
        <v>6.3522388059701479E-2</v>
      </c>
      <c r="J188">
        <f t="shared" si="105"/>
        <v>6.0179104477611933E-2</v>
      </c>
      <c r="K188">
        <f t="shared" si="105"/>
        <v>5.5164179104477601E-2</v>
      </c>
      <c r="L188">
        <f t="shared" si="105"/>
        <v>4.7063145809414467E-2</v>
      </c>
      <c r="M188">
        <f t="shared" si="105"/>
        <v>4.4417910447761166E-2</v>
      </c>
      <c r="N188">
        <f t="shared" si="105"/>
        <v>3.2597014925373133E-2</v>
      </c>
    </row>
    <row r="189" spans="2:14" x14ac:dyDescent="0.25">
      <c r="B189" s="4">
        <v>135</v>
      </c>
      <c r="C189" s="4">
        <v>172</v>
      </c>
      <c r="E189">
        <f t="shared" ref="E189:N189" si="106">(E165*$L$27/2)-(E165/2)</f>
        <v>4.2383720930232544E-2</v>
      </c>
      <c r="F189">
        <f t="shared" si="106"/>
        <v>3.767441860465115E-2</v>
      </c>
      <c r="G189">
        <f t="shared" si="106"/>
        <v>3.4848837209302319E-2</v>
      </c>
      <c r="H189">
        <f t="shared" si="106"/>
        <v>3.2965116279069756E-2</v>
      </c>
      <c r="I189">
        <f t="shared" si="106"/>
        <v>2.9825581395348827E-2</v>
      </c>
      <c r="J189">
        <f t="shared" si="106"/>
        <v>2.8255813953488362E-2</v>
      </c>
      <c r="K189">
        <f t="shared" si="106"/>
        <v>2.5901162790697665E-2</v>
      </c>
      <c r="L189">
        <f t="shared" si="106"/>
        <v>2.2097495527728085E-2</v>
      </c>
      <c r="M189">
        <f t="shared" si="106"/>
        <v>2.0855481727574746E-2</v>
      </c>
      <c r="N189">
        <f t="shared" si="106"/>
        <v>1.530523255813953E-2</v>
      </c>
    </row>
    <row r="190" spans="2:14" x14ac:dyDescent="0.25">
      <c r="B190" s="4">
        <v>143</v>
      </c>
      <c r="C190" s="4">
        <v>207</v>
      </c>
      <c r="E190">
        <f t="shared" ref="E190:N190" si="107">(E166*$L$27/2)-(E166/2)</f>
        <v>3.7304347826086964E-2</v>
      </c>
      <c r="F190">
        <f t="shared" si="107"/>
        <v>3.3159420289855066E-2</v>
      </c>
      <c r="G190">
        <f t="shared" si="107"/>
        <v>3.0672463768115943E-2</v>
      </c>
      <c r="H190">
        <f t="shared" si="107"/>
        <v>2.9014492753623181E-2</v>
      </c>
      <c r="I190">
        <f t="shared" si="107"/>
        <v>2.6251207729468595E-2</v>
      </c>
      <c r="J190">
        <f t="shared" si="107"/>
        <v>2.4869565217391303E-2</v>
      </c>
      <c r="K190">
        <f t="shared" si="107"/>
        <v>2.2797101449275353E-2</v>
      </c>
      <c r="L190">
        <f t="shared" si="107"/>
        <v>1.9449275362318837E-2</v>
      </c>
      <c r="M190">
        <f t="shared" si="107"/>
        <v>1.8356107660455478E-2</v>
      </c>
      <c r="N190">
        <f t="shared" si="107"/>
        <v>1.3471014492753619E-2</v>
      </c>
    </row>
    <row r="191" spans="2:14" x14ac:dyDescent="0.25">
      <c r="B191" s="4">
        <v>145</v>
      </c>
      <c r="C191" s="4">
        <v>205</v>
      </c>
      <c r="E191">
        <f t="shared" ref="E191:N191" si="108">(E167*$L$27/2)-(E167/2)</f>
        <v>3.8195121951219491E-2</v>
      </c>
      <c r="F191">
        <f t="shared" si="108"/>
        <v>3.395121951219511E-2</v>
      </c>
      <c r="G191">
        <f t="shared" si="108"/>
        <v>3.1404878048780477E-2</v>
      </c>
      <c r="H191">
        <f t="shared" si="108"/>
        <v>2.9707317073170716E-2</v>
      </c>
      <c r="I191">
        <f t="shared" si="108"/>
        <v>2.6878048780487801E-2</v>
      </c>
      <c r="J191">
        <f t="shared" si="108"/>
        <v>2.5463414634146336E-2</v>
      </c>
      <c r="K191">
        <f t="shared" si="108"/>
        <v>2.3341463414634139E-2</v>
      </c>
      <c r="L191">
        <f t="shared" si="108"/>
        <v>1.9913696060037511E-2</v>
      </c>
      <c r="M191">
        <f t="shared" si="108"/>
        <v>1.8794425087108005E-2</v>
      </c>
      <c r="N191">
        <f t="shared" si="108"/>
        <v>1.3792682926829267E-2</v>
      </c>
    </row>
    <row r="192" spans="2:14" x14ac:dyDescent="0.25">
      <c r="B192" s="4">
        <v>243</v>
      </c>
      <c r="C192" s="4">
        <v>340</v>
      </c>
      <c r="E192">
        <f t="shared" ref="E192:N192" si="109">(E168*$L$27/2)-(E168/2)</f>
        <v>3.8594117647058807E-2</v>
      </c>
      <c r="F192">
        <f t="shared" si="109"/>
        <v>3.4305882352941158E-2</v>
      </c>
      <c r="G192">
        <f t="shared" si="109"/>
        <v>3.1732941176470575E-2</v>
      </c>
      <c r="H192">
        <f t="shared" si="109"/>
        <v>3.0017647058823524E-2</v>
      </c>
      <c r="I192">
        <f t="shared" si="109"/>
        <v>2.7158823529411763E-2</v>
      </c>
      <c r="J192">
        <f t="shared" si="109"/>
        <v>2.5729411764705876E-2</v>
      </c>
      <c r="K192">
        <f t="shared" si="109"/>
        <v>2.3585294117647058E-2</v>
      </c>
      <c r="L192">
        <f t="shared" si="109"/>
        <v>2.0121719457013569E-2</v>
      </c>
      <c r="M192">
        <f t="shared" si="109"/>
        <v>1.8990756302520999E-2</v>
      </c>
      <c r="N192">
        <f t="shared" si="109"/>
        <v>1.393676470588235E-2</v>
      </c>
    </row>
    <row r="193" spans="2:14" x14ac:dyDescent="0.25">
      <c r="B193" s="4">
        <v>257</v>
      </c>
      <c r="C193" s="4">
        <v>229</v>
      </c>
      <c r="E193">
        <f t="shared" ref="E193:N193" si="110">(E169*$L$27/2)-(E169/2)</f>
        <v>6.0602620087336245E-2</v>
      </c>
      <c r="F193">
        <f t="shared" si="110"/>
        <v>5.3868995633187755E-2</v>
      </c>
      <c r="G193">
        <f t="shared" si="110"/>
        <v>4.9828820960698669E-2</v>
      </c>
      <c r="H193">
        <f t="shared" si="110"/>
        <v>4.7135371179039265E-2</v>
      </c>
      <c r="I193">
        <f t="shared" si="110"/>
        <v>4.2646288209606961E-2</v>
      </c>
      <c r="J193">
        <f t="shared" si="110"/>
        <v>4.040174672489083E-2</v>
      </c>
      <c r="K193">
        <f t="shared" si="110"/>
        <v>3.7034934497816571E-2</v>
      </c>
      <c r="L193">
        <f t="shared" si="110"/>
        <v>3.1596237823312043E-2</v>
      </c>
      <c r="M193">
        <f t="shared" si="110"/>
        <v>2.9820336868371794E-2</v>
      </c>
      <c r="N193">
        <f t="shared" si="110"/>
        <v>2.1884279475982531E-2</v>
      </c>
    </row>
    <row r="194" spans="2:14" x14ac:dyDescent="0.25">
      <c r="B194" s="4">
        <v>373</v>
      </c>
      <c r="C194" s="4">
        <v>436</v>
      </c>
      <c r="E194">
        <f t="shared" ref="E194:N194" si="111">(E170*$L$27/2)-(E170/2)</f>
        <v>4.6197247706422001E-2</v>
      </c>
      <c r="F194">
        <f t="shared" si="111"/>
        <v>4.1064220183486211E-2</v>
      </c>
      <c r="G194">
        <f t="shared" si="111"/>
        <v>3.7984403669724762E-2</v>
      </c>
      <c r="H194">
        <f t="shared" si="111"/>
        <v>3.5931192660550434E-2</v>
      </c>
      <c r="I194">
        <f t="shared" si="111"/>
        <v>3.2509174311926597E-2</v>
      </c>
      <c r="J194">
        <f t="shared" si="111"/>
        <v>3.0798165137614672E-2</v>
      </c>
      <c r="K194">
        <f t="shared" si="111"/>
        <v>2.8231651376146777E-2</v>
      </c>
      <c r="L194">
        <f t="shared" si="111"/>
        <v>2.4085744530698658E-2</v>
      </c>
      <c r="M194">
        <f t="shared" si="111"/>
        <v>2.2731979030144157E-2</v>
      </c>
      <c r="N194">
        <f t="shared" si="111"/>
        <v>1.6682339449541284E-2</v>
      </c>
    </row>
    <row r="195" spans="2:14" x14ac:dyDescent="0.25">
      <c r="B195" s="4">
        <v>752</v>
      </c>
      <c r="C195" s="4">
        <v>1440</v>
      </c>
      <c r="E195">
        <f t="shared" ref="E195:N195" si="112">(E171*$L$27/2)-(E171/2)</f>
        <v>2.8200000000000003E-2</v>
      </c>
      <c r="F195">
        <f t="shared" si="112"/>
        <v>2.5066666666666654E-2</v>
      </c>
      <c r="G195">
        <f t="shared" si="112"/>
        <v>2.3186666666666654E-2</v>
      </c>
      <c r="H195">
        <f t="shared" si="112"/>
        <v>2.1933333333333326E-2</v>
      </c>
      <c r="I195">
        <f t="shared" si="112"/>
        <v>1.9844444444444435E-2</v>
      </c>
      <c r="J195">
        <f t="shared" si="112"/>
        <v>1.8799999999999997E-2</v>
      </c>
      <c r="K195">
        <f t="shared" si="112"/>
        <v>1.723333333333333E-2</v>
      </c>
      <c r="L195">
        <f t="shared" si="112"/>
        <v>1.4702564102564097E-2</v>
      </c>
      <c r="M195">
        <f t="shared" si="112"/>
        <v>1.3876190476190473E-2</v>
      </c>
      <c r="N195">
        <f t="shared" si="112"/>
        <v>1.0183333333333329E-2</v>
      </c>
    </row>
    <row r="198" spans="2:14" x14ac:dyDescent="0.25">
      <c r="E198" s="3" t="s">
        <v>4</v>
      </c>
      <c r="F198" s="3"/>
    </row>
    <row r="199" spans="2:14" x14ac:dyDescent="0.25">
      <c r="E199" s="4">
        <v>1</v>
      </c>
      <c r="F199" s="4">
        <v>8</v>
      </c>
      <c r="G199" s="4">
        <v>5</v>
      </c>
      <c r="H199" s="4">
        <v>4</v>
      </c>
      <c r="I199" s="4">
        <v>3</v>
      </c>
      <c r="J199" s="4">
        <v>16</v>
      </c>
      <c r="K199" s="4">
        <v>16</v>
      </c>
      <c r="L199" s="4">
        <v>19.5</v>
      </c>
      <c r="M199" s="4">
        <v>21</v>
      </c>
      <c r="N199" s="4">
        <v>32</v>
      </c>
    </row>
    <row r="200" spans="2:14" x14ac:dyDescent="0.25">
      <c r="E200" s="4">
        <v>1</v>
      </c>
      <c r="F200" s="4">
        <v>7</v>
      </c>
      <c r="G200" s="4">
        <v>4</v>
      </c>
      <c r="H200" s="4">
        <v>3</v>
      </c>
      <c r="I200" s="4">
        <v>2</v>
      </c>
      <c r="J200" s="4">
        <v>10</v>
      </c>
      <c r="K200" s="4">
        <v>9</v>
      </c>
      <c r="L200" s="4">
        <v>9</v>
      </c>
      <c r="M200" s="4">
        <v>9</v>
      </c>
      <c r="N200" s="4">
        <v>9</v>
      </c>
    </row>
    <row r="201" spans="2:14" x14ac:dyDescent="0.25">
      <c r="B201" s="2"/>
      <c r="C201" s="2"/>
      <c r="D201" s="4" t="s">
        <v>0</v>
      </c>
      <c r="E201" s="4">
        <v>720</v>
      </c>
      <c r="F201">
        <f>F202*F199/F200</f>
        <v>822.85714285714289</v>
      </c>
      <c r="G201" s="4">
        <v>900</v>
      </c>
      <c r="H201" s="4">
        <v>960</v>
      </c>
      <c r="I201" s="4">
        <v>1080</v>
      </c>
      <c r="J201" s="4">
        <v>1152</v>
      </c>
      <c r="K201" s="4">
        <v>1280</v>
      </c>
      <c r="L201" s="4">
        <v>1560</v>
      </c>
      <c r="M201" s="4">
        <v>1680</v>
      </c>
      <c r="N201">
        <f>N202*N199/N200</f>
        <v>2560</v>
      </c>
    </row>
    <row r="202" spans="2:14" x14ac:dyDescent="0.25">
      <c r="B202" s="2" t="s">
        <v>0</v>
      </c>
      <c r="C202" s="2" t="s">
        <v>1</v>
      </c>
      <c r="D202" s="4" t="s">
        <v>1</v>
      </c>
      <c r="E202" s="4">
        <v>720</v>
      </c>
      <c r="F202" s="4">
        <v>720</v>
      </c>
      <c r="G202" s="4">
        <v>720</v>
      </c>
      <c r="H202" s="4">
        <v>720</v>
      </c>
      <c r="I202" s="4">
        <v>720</v>
      </c>
      <c r="J202" s="4">
        <v>720</v>
      </c>
      <c r="K202" s="4">
        <v>720</v>
      </c>
      <c r="L202" s="4">
        <v>720</v>
      </c>
      <c r="M202" s="4">
        <v>720</v>
      </c>
      <c r="N202" s="4">
        <v>720</v>
      </c>
    </row>
    <row r="203" spans="2:14" x14ac:dyDescent="0.25">
      <c r="B203" s="4">
        <v>1</v>
      </c>
      <c r="C203" s="4">
        <v>1</v>
      </c>
      <c r="E203">
        <f>(E$54/((E155*E$54)+$H$27))</f>
        <v>3.5225048923679059</v>
      </c>
      <c r="F203">
        <f t="shared" ref="F203:N203" si="113">(F$54/((F155*F$54)+$H$27))</f>
        <v>3.9658496282015978</v>
      </c>
      <c r="G203">
        <f t="shared" si="113"/>
        <v>4.2897998093422309</v>
      </c>
      <c r="H203">
        <f t="shared" si="113"/>
        <v>4.536862003780719</v>
      </c>
      <c r="I203">
        <f t="shared" si="113"/>
        <v>5.0185873605947959</v>
      </c>
      <c r="J203">
        <f t="shared" si="113"/>
        <v>5.2999631947000374</v>
      </c>
      <c r="K203">
        <f t="shared" si="113"/>
        <v>5.786618444846293</v>
      </c>
      <c r="L203">
        <f t="shared" si="113"/>
        <v>6.7944250871080145</v>
      </c>
      <c r="M203">
        <f t="shared" si="113"/>
        <v>7.2041166380789035</v>
      </c>
      <c r="N203">
        <f t="shared" si="113"/>
        <v>9.8613251155624031</v>
      </c>
    </row>
    <row r="204" spans="2:14" x14ac:dyDescent="0.25">
      <c r="B204" s="4">
        <v>1</v>
      </c>
      <c r="C204" s="4">
        <v>2</v>
      </c>
      <c r="E204">
        <f t="shared" ref="E204:N204" si="114">(E$54/((E156*E$54)+$H$27))</f>
        <v>6.7164179104477606</v>
      </c>
      <c r="F204">
        <f t="shared" si="114"/>
        <v>7.566999474513926</v>
      </c>
      <c r="G204">
        <f t="shared" si="114"/>
        <v>8.1892629663330307</v>
      </c>
      <c r="H204">
        <f t="shared" si="114"/>
        <v>8.6642599277978345</v>
      </c>
      <c r="I204">
        <f t="shared" si="114"/>
        <v>9.5914742451154531</v>
      </c>
      <c r="J204">
        <f t="shared" si="114"/>
        <v>10.133708655876145</v>
      </c>
      <c r="K204">
        <f t="shared" si="114"/>
        <v>11.072664359861593</v>
      </c>
      <c r="L204">
        <f t="shared" si="114"/>
        <v>13.021702838063439</v>
      </c>
      <c r="M204">
        <f t="shared" si="114"/>
        <v>13.815789473684212</v>
      </c>
      <c r="N204">
        <f t="shared" si="114"/>
        <v>18.991097922848663</v>
      </c>
    </row>
    <row r="205" spans="2:14" x14ac:dyDescent="0.25">
      <c r="B205" s="4">
        <v>2</v>
      </c>
      <c r="C205" s="4">
        <v>3</v>
      </c>
      <c r="E205">
        <f t="shared" ref="E205:N205" si="115">(E$54/((E157*E$54)+$H$27))</f>
        <v>5.1575931232091694</v>
      </c>
      <c r="F205">
        <f t="shared" si="115"/>
        <v>5.8087938684953615</v>
      </c>
      <c r="G205">
        <f t="shared" si="115"/>
        <v>6.2849162011173192</v>
      </c>
      <c r="H205">
        <f t="shared" si="115"/>
        <v>6.6481994459833809</v>
      </c>
      <c r="I205">
        <f t="shared" si="115"/>
        <v>7.3569482288828345</v>
      </c>
      <c r="J205">
        <f t="shared" si="115"/>
        <v>7.7711818672423112</v>
      </c>
      <c r="K205">
        <f t="shared" si="115"/>
        <v>8.4880636604774544</v>
      </c>
      <c r="L205">
        <f t="shared" si="115"/>
        <v>9.9744245524296673</v>
      </c>
      <c r="M205">
        <f t="shared" si="115"/>
        <v>10.57934508816121</v>
      </c>
      <c r="N205">
        <f t="shared" si="115"/>
        <v>14.512471655328797</v>
      </c>
    </row>
    <row r="206" spans="2:14" x14ac:dyDescent="0.25">
      <c r="B206" s="4">
        <v>3</v>
      </c>
      <c r="C206" s="4">
        <v>4</v>
      </c>
      <c r="E206">
        <f t="shared" ref="E206:N206" si="116">(E$54/((E158*E$54)+$H$27))</f>
        <v>4.6213093709884463</v>
      </c>
      <c r="F206">
        <f t="shared" si="116"/>
        <v>5.2041922659920496</v>
      </c>
      <c r="G206">
        <f t="shared" si="116"/>
        <v>5.6302783859868626</v>
      </c>
      <c r="H206">
        <f t="shared" si="116"/>
        <v>5.9553349875930524</v>
      </c>
      <c r="I206">
        <f t="shared" si="116"/>
        <v>6.5893837705918248</v>
      </c>
      <c r="J206">
        <f t="shared" si="116"/>
        <v>6.9598840019333021</v>
      </c>
      <c r="K206">
        <f t="shared" si="116"/>
        <v>7.6009501187648469</v>
      </c>
      <c r="L206">
        <f t="shared" si="116"/>
        <v>8.9295935890097322</v>
      </c>
      <c r="M206">
        <f t="shared" si="116"/>
        <v>9.4701240135287499</v>
      </c>
      <c r="N206">
        <f t="shared" si="116"/>
        <v>12.981744421906692</v>
      </c>
    </row>
    <row r="207" spans="2:14" x14ac:dyDescent="0.25">
      <c r="B207" s="4">
        <v>3</v>
      </c>
      <c r="C207" s="4">
        <v>5</v>
      </c>
      <c r="E207">
        <f t="shared" ref="E207:N207" si="117">(E$54/((E159*E$54)+$H$27))</f>
        <v>5.6854074542008828</v>
      </c>
      <c r="F207">
        <f t="shared" si="117"/>
        <v>6.4039847015921021</v>
      </c>
      <c r="G207">
        <f t="shared" si="117"/>
        <v>6.9294733600246383</v>
      </c>
      <c r="H207">
        <f t="shared" si="117"/>
        <v>7.3304825901038484</v>
      </c>
      <c r="I207">
        <f t="shared" si="117"/>
        <v>8.1129807692307701</v>
      </c>
      <c r="J207">
        <f t="shared" si="117"/>
        <v>8.5704082847280088</v>
      </c>
      <c r="K207">
        <f t="shared" si="117"/>
        <v>9.3622001170275038</v>
      </c>
      <c r="L207">
        <f t="shared" si="117"/>
        <v>11.004514672686231</v>
      </c>
      <c r="M207">
        <f t="shared" si="117"/>
        <v>11.673151750972764</v>
      </c>
      <c r="N207">
        <f t="shared" si="117"/>
        <v>16.024036054081119</v>
      </c>
    </row>
    <row r="208" spans="2:14" x14ac:dyDescent="0.25">
      <c r="B208" s="4">
        <v>4</v>
      </c>
      <c r="C208" s="4">
        <v>3</v>
      </c>
      <c r="E208">
        <f t="shared" ref="E208:N208" si="118">(E$54/((E160*E$54)+$H$27))</f>
        <v>2.6745913818722142</v>
      </c>
      <c r="F208">
        <f t="shared" si="118"/>
        <v>3.0106627639556769</v>
      </c>
      <c r="G208">
        <f t="shared" si="118"/>
        <v>3.2561505065123013</v>
      </c>
      <c r="H208">
        <f t="shared" si="118"/>
        <v>3.4433285509325686</v>
      </c>
      <c r="I208">
        <f t="shared" si="118"/>
        <v>3.8081805359661498</v>
      </c>
      <c r="J208">
        <f t="shared" si="118"/>
        <v>4.0212231220329526</v>
      </c>
      <c r="K208">
        <f t="shared" si="118"/>
        <v>4.3895747599451305</v>
      </c>
      <c r="L208">
        <f t="shared" si="118"/>
        <v>5.1519154557463667</v>
      </c>
      <c r="M208">
        <f t="shared" si="118"/>
        <v>5.4616384915474647</v>
      </c>
      <c r="N208">
        <f t="shared" si="118"/>
        <v>7.4679113185530923</v>
      </c>
    </row>
    <row r="209" spans="2:14" x14ac:dyDescent="0.25">
      <c r="B209" s="4">
        <v>5</v>
      </c>
      <c r="C209" s="4">
        <v>7</v>
      </c>
      <c r="E209">
        <f t="shared" ref="E209:N209" si="119">(E$54/((E161*E$54)+$H$27))</f>
        <v>4.8368522072936662</v>
      </c>
      <c r="F209">
        <f t="shared" si="119"/>
        <v>5.4471764388003248</v>
      </c>
      <c r="G209">
        <f t="shared" si="119"/>
        <v>5.8933582787652021</v>
      </c>
      <c r="H209">
        <f t="shared" si="119"/>
        <v>6.233766233766235</v>
      </c>
      <c r="I209">
        <f t="shared" si="119"/>
        <v>6.8978102189781021</v>
      </c>
      <c r="J209">
        <f t="shared" si="119"/>
        <v>7.2858691723888693</v>
      </c>
      <c r="K209">
        <f t="shared" si="119"/>
        <v>7.9573712255772646</v>
      </c>
      <c r="L209">
        <f t="shared" si="119"/>
        <v>9.3493150684931496</v>
      </c>
      <c r="M209">
        <f t="shared" si="119"/>
        <v>9.915682967959528</v>
      </c>
      <c r="N209">
        <f t="shared" si="119"/>
        <v>13.596358118361154</v>
      </c>
    </row>
    <row r="210" spans="2:14" x14ac:dyDescent="0.25">
      <c r="B210" s="4">
        <v>99</v>
      </c>
      <c r="C210" s="4">
        <v>168</v>
      </c>
      <c r="E210">
        <f t="shared" ref="E210:N210" si="120">(E$54/((E162*E$54)+$H$27))</f>
        <v>5.7804794127766943</v>
      </c>
      <c r="F210">
        <f t="shared" si="120"/>
        <v>6.511207286351012</v>
      </c>
      <c r="G210">
        <f t="shared" si="120"/>
        <v>7.0456006933765769</v>
      </c>
      <c r="H210">
        <f t="shared" si="120"/>
        <v>7.4534161490683237</v>
      </c>
      <c r="I210">
        <f t="shared" si="120"/>
        <v>8.2492225435102835</v>
      </c>
      <c r="J210">
        <f t="shared" si="120"/>
        <v>8.7144462695599554</v>
      </c>
      <c r="K210">
        <f t="shared" si="120"/>
        <v>9.5197620059498522</v>
      </c>
      <c r="L210">
        <f t="shared" si="120"/>
        <v>11.190244402315932</v>
      </c>
      <c r="M210">
        <f t="shared" si="120"/>
        <v>11.870394670435047</v>
      </c>
      <c r="N210">
        <f t="shared" si="120"/>
        <v>16.296835212804655</v>
      </c>
    </row>
    <row r="211" spans="2:14" x14ac:dyDescent="0.25">
      <c r="B211" s="4">
        <v>105</v>
      </c>
      <c r="C211" s="4">
        <v>170</v>
      </c>
      <c r="E211">
        <f t="shared" ref="E211:N211" si="121">(E$54/((E163*E$54)+$H$27))</f>
        <v>5.5354558610709121</v>
      </c>
      <c r="F211">
        <f t="shared" si="121"/>
        <v>6.2348776201512894</v>
      </c>
      <c r="G211">
        <f t="shared" si="121"/>
        <v>6.7463292032276545</v>
      </c>
      <c r="H211">
        <f t="shared" si="121"/>
        <v>7.1366101101976573</v>
      </c>
      <c r="I211">
        <f t="shared" si="121"/>
        <v>7.8981330121311188</v>
      </c>
      <c r="J211">
        <f t="shared" si="121"/>
        <v>8.3432739170444101</v>
      </c>
      <c r="K211">
        <f t="shared" si="121"/>
        <v>9.1137543977215625</v>
      </c>
      <c r="L211">
        <f t="shared" si="121"/>
        <v>10.711689150981501</v>
      </c>
      <c r="M211">
        <f t="shared" si="121"/>
        <v>11.362189688096755</v>
      </c>
      <c r="N211">
        <f t="shared" si="121"/>
        <v>15.594094883187614</v>
      </c>
    </row>
    <row r="212" spans="2:14" x14ac:dyDescent="0.25">
      <c r="B212" s="4">
        <v>112</v>
      </c>
      <c r="C212" s="4">
        <v>67</v>
      </c>
      <c r="E212">
        <f t="shared" ref="E212:N212" si="122">(E$54/((E164*E$54)+$H$27))</f>
        <v>2.1494644162047516</v>
      </c>
      <c r="F212">
        <f t="shared" si="122"/>
        <v>2.4192759724872559</v>
      </c>
      <c r="G212">
        <f t="shared" si="122"/>
        <v>2.6163244763012203</v>
      </c>
      <c r="H212">
        <f t="shared" si="122"/>
        <v>2.7665468059116014</v>
      </c>
      <c r="I212">
        <f t="shared" si="122"/>
        <v>3.0593089918993428</v>
      </c>
      <c r="J212">
        <f t="shared" si="122"/>
        <v>3.2302237519209585</v>
      </c>
      <c r="K212">
        <f t="shared" si="122"/>
        <v>3.5256779201131381</v>
      </c>
      <c r="L212">
        <f t="shared" si="122"/>
        <v>4.1369155993223883</v>
      </c>
      <c r="M212">
        <f t="shared" si="122"/>
        <v>4.3851584048869432</v>
      </c>
      <c r="N212">
        <f t="shared" si="122"/>
        <v>5.9919232005365899</v>
      </c>
    </row>
    <row r="213" spans="2:14" x14ac:dyDescent="0.25">
      <c r="B213" s="4">
        <v>135</v>
      </c>
      <c r="C213" s="4">
        <v>172</v>
      </c>
      <c r="E213">
        <f t="shared" ref="E213:N213" si="123">(E$54/((E165*E$54)+$H$27))</f>
        <v>4.4285509941353167</v>
      </c>
      <c r="F213">
        <f t="shared" si="123"/>
        <v>4.9869125760077315</v>
      </c>
      <c r="G213">
        <f t="shared" si="123"/>
        <v>5.3950440874080794</v>
      </c>
      <c r="H213">
        <f t="shared" si="123"/>
        <v>5.7063865081559308</v>
      </c>
      <c r="I213">
        <f t="shared" si="123"/>
        <v>6.3136428522874048</v>
      </c>
      <c r="J213">
        <f t="shared" si="123"/>
        <v>6.6684615798826119</v>
      </c>
      <c r="K213">
        <f t="shared" si="123"/>
        <v>7.2823498279968248</v>
      </c>
      <c r="L213">
        <f t="shared" si="123"/>
        <v>8.554485748900083</v>
      </c>
      <c r="M213">
        <f t="shared" si="123"/>
        <v>9.0719578048474201</v>
      </c>
      <c r="N213">
        <f t="shared" si="123"/>
        <v>12.432798735035012</v>
      </c>
    </row>
    <row r="214" spans="2:14" x14ac:dyDescent="0.25">
      <c r="B214" s="4">
        <v>143</v>
      </c>
      <c r="C214" s="4">
        <v>207</v>
      </c>
      <c r="E214">
        <f t="shared" ref="E214:N214" si="124">(E$54/((E166*E$54)+$H$27))</f>
        <v>4.9897553332529823</v>
      </c>
      <c r="F214">
        <f t="shared" si="124"/>
        <v>5.6195598690126749</v>
      </c>
      <c r="G214">
        <f t="shared" si="124"/>
        <v>6.0800093990483468</v>
      </c>
      <c r="H214">
        <f t="shared" si="124"/>
        <v>6.4313177210765478</v>
      </c>
      <c r="I214">
        <f t="shared" si="124"/>
        <v>7.1166628466651396</v>
      </c>
      <c r="J214">
        <f t="shared" si="124"/>
        <v>7.5171928550352929</v>
      </c>
      <c r="K214">
        <f t="shared" si="124"/>
        <v>8.2103149518462057</v>
      </c>
      <c r="L214">
        <f t="shared" si="124"/>
        <v>9.6472359647235972</v>
      </c>
      <c r="M214">
        <f t="shared" si="124"/>
        <v>10.231966952653321</v>
      </c>
      <c r="N214">
        <f t="shared" si="124"/>
        <v>14.032857733007084</v>
      </c>
    </row>
    <row r="215" spans="2:14" x14ac:dyDescent="0.25">
      <c r="B215" s="4">
        <v>145</v>
      </c>
      <c r="C215" s="4">
        <v>205</v>
      </c>
      <c r="E215">
        <f t="shared" ref="E215:N215" si="125">(E$54/((E167*E$54)+$H$27))</f>
        <v>4.8812752166148554</v>
      </c>
      <c r="F215">
        <f t="shared" si="125"/>
        <v>5.4972578888071597</v>
      </c>
      <c r="G215">
        <f t="shared" si="125"/>
        <v>5.9475838947809549</v>
      </c>
      <c r="H215">
        <f t="shared" si="125"/>
        <v>6.2911578543571398</v>
      </c>
      <c r="I215">
        <f t="shared" si="125"/>
        <v>6.9613885045906168</v>
      </c>
      <c r="J215">
        <f t="shared" si="125"/>
        <v>7.3530693833833576</v>
      </c>
      <c r="K215">
        <f t="shared" si="125"/>
        <v>8.0308502172981573</v>
      </c>
      <c r="L215">
        <f t="shared" si="125"/>
        <v>9.4358550690428427</v>
      </c>
      <c r="M215">
        <f t="shared" si="125"/>
        <v>10.00755506479921</v>
      </c>
      <c r="N215">
        <f t="shared" si="125"/>
        <v>13.72313163537472</v>
      </c>
    </row>
    <row r="216" spans="2:14" x14ac:dyDescent="0.25">
      <c r="B216" s="4">
        <v>243</v>
      </c>
      <c r="C216" s="4">
        <v>340</v>
      </c>
      <c r="E216">
        <f t="shared" ref="E216:N216" si="126">(E$54/((E168*E$54)+$H$27))</f>
        <v>4.8341995924106227</v>
      </c>
      <c r="F216">
        <f t="shared" si="126"/>
        <v>5.4441859741045349</v>
      </c>
      <c r="G216">
        <f t="shared" si="126"/>
        <v>5.8901203817413972</v>
      </c>
      <c r="H216">
        <f t="shared" si="126"/>
        <v>6.230339309165319</v>
      </c>
      <c r="I216">
        <f t="shared" si="126"/>
        <v>6.8940139232045903</v>
      </c>
      <c r="J216">
        <f t="shared" si="126"/>
        <v>7.2818566354728747</v>
      </c>
      <c r="K216">
        <f t="shared" si="126"/>
        <v>7.9529838308821379</v>
      </c>
      <c r="L216">
        <f t="shared" si="126"/>
        <v>9.3441479278682529</v>
      </c>
      <c r="M216">
        <f t="shared" si="126"/>
        <v>9.9101975099587758</v>
      </c>
      <c r="N216">
        <f t="shared" si="126"/>
        <v>13.588789248869681</v>
      </c>
    </row>
    <row r="217" spans="2:14" x14ac:dyDescent="0.25">
      <c r="B217" s="4">
        <v>257</v>
      </c>
      <c r="C217" s="4">
        <v>229</v>
      </c>
      <c r="E217">
        <f t="shared" ref="E217:N217" si="127">(E$54/((E169*E$54)+$H$27))</f>
        <v>3.1555497714867524</v>
      </c>
      <c r="F217">
        <f t="shared" si="127"/>
        <v>3.5524261877240066</v>
      </c>
      <c r="G217">
        <f t="shared" si="127"/>
        <v>3.8423821650826087</v>
      </c>
      <c r="H217">
        <f t="shared" si="127"/>
        <v>4.0634958189467154</v>
      </c>
      <c r="I217">
        <f t="shared" si="127"/>
        <v>4.4945698791852644</v>
      </c>
      <c r="J217">
        <f t="shared" si="127"/>
        <v>4.7463257571941178</v>
      </c>
      <c r="K217">
        <f t="shared" si="127"/>
        <v>5.18169154510292</v>
      </c>
      <c r="L217">
        <f t="shared" si="127"/>
        <v>6.083041588905993</v>
      </c>
      <c r="M217">
        <f t="shared" si="127"/>
        <v>6.4493633114510072</v>
      </c>
      <c r="N217">
        <f t="shared" si="127"/>
        <v>8.8239721120095354</v>
      </c>
    </row>
    <row r="218" spans="2:14" x14ac:dyDescent="0.25">
      <c r="B218" s="4">
        <v>373</v>
      </c>
      <c r="C218" s="4">
        <v>436</v>
      </c>
      <c r="E218">
        <f t="shared" ref="E218:N218" si="128">(E$54/((E170*E$54)+$H$27))</f>
        <v>4.0837140567598791</v>
      </c>
      <c r="F218">
        <f t="shared" si="128"/>
        <v>4.5982533902451177</v>
      </c>
      <c r="G218">
        <f t="shared" si="128"/>
        <v>4.9743044974101673</v>
      </c>
      <c r="H218">
        <f t="shared" si="128"/>
        <v>5.2611467530116851</v>
      </c>
      <c r="I218">
        <f t="shared" si="128"/>
        <v>5.8205479384323286</v>
      </c>
      <c r="J218">
        <f t="shared" si="128"/>
        <v>6.1473628142514167</v>
      </c>
      <c r="K218">
        <f t="shared" si="128"/>
        <v>6.7127268528319322</v>
      </c>
      <c r="L218">
        <f t="shared" si="128"/>
        <v>7.8840117397775371</v>
      </c>
      <c r="M218">
        <f t="shared" si="128"/>
        <v>8.3603458823744266</v>
      </c>
      <c r="N218">
        <f t="shared" si="128"/>
        <v>11.452399323625498</v>
      </c>
    </row>
    <row r="219" spans="2:14" x14ac:dyDescent="0.25">
      <c r="B219" s="4">
        <v>752</v>
      </c>
      <c r="C219" s="4">
        <v>1440</v>
      </c>
      <c r="E219">
        <f t="shared" ref="E219:N219" si="129">(E$54/((E171*E$54)+$H$27))</f>
        <v>6.4562410329985651</v>
      </c>
      <c r="F219">
        <f t="shared" si="129"/>
        <v>7.2734619658551374</v>
      </c>
      <c r="G219">
        <f t="shared" si="129"/>
        <v>7.8712611509532984</v>
      </c>
      <c r="H219">
        <f t="shared" si="129"/>
        <v>8.3275503122831385</v>
      </c>
      <c r="I219">
        <f t="shared" si="129"/>
        <v>9.2181631956299075</v>
      </c>
      <c r="J219">
        <f t="shared" si="129"/>
        <v>9.7389422426619774</v>
      </c>
      <c r="K219">
        <f t="shared" si="129"/>
        <v>10.640656173797385</v>
      </c>
      <c r="L219">
        <f t="shared" si="129"/>
        <v>12.512030798845043</v>
      </c>
      <c r="M219">
        <f t="shared" si="129"/>
        <v>13.274336283185843</v>
      </c>
      <c r="N219">
        <f t="shared" si="129"/>
        <v>18.240547216416491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59C1-581B-42EB-A8D5-2D1413740DEC}">
  <sheetPr codeName="Sheet2"/>
  <dimension ref="A1:M232"/>
  <sheetViews>
    <sheetView tabSelected="1" workbookViewId="0">
      <selection activeCell="E6" sqref="E6"/>
    </sheetView>
  </sheetViews>
  <sheetFormatPr defaultRowHeight="15" x14ac:dyDescent="0.25"/>
  <sheetData>
    <row r="1" spans="1:13" x14ac:dyDescent="0.25">
      <c r="A1" t="s">
        <v>14</v>
      </c>
    </row>
    <row r="2" spans="1:13" x14ac:dyDescent="0.25">
      <c r="B2" t="s">
        <v>5</v>
      </c>
      <c r="M2" s="1" t="s">
        <v>17</v>
      </c>
    </row>
    <row r="3" spans="1:13" x14ac:dyDescent="0.25">
      <c r="C3" t="s">
        <v>22</v>
      </c>
    </row>
    <row r="4" spans="1:13" x14ac:dyDescent="0.25">
      <c r="D4" t="s">
        <v>23</v>
      </c>
    </row>
    <row r="5" spans="1:13" x14ac:dyDescent="0.25">
      <c r="E5" t="str">
        <f ca="1">Sheet1!P8</f>
        <v>&lt;itemSize&gt;0.109666666666667 0.21&lt;/itemSize&gt;</v>
      </c>
    </row>
    <row r="6" spans="1:13" x14ac:dyDescent="0.25">
      <c r="E6" t="str">
        <f ca="1">Sheet1!P9</f>
        <v>&lt;selectedItemMargins&gt;0.0219333333333333 0.0219333333333333&lt;/selectedItemMargins&gt;</v>
      </c>
    </row>
    <row r="7" spans="1:13" x14ac:dyDescent="0.25">
      <c r="E7" t="str">
        <f ca="1">Sheet1!P10</f>
        <v>&lt;maxItemCount&gt;8.09352517985612&lt;/maxItemCount&gt;</v>
      </c>
    </row>
    <row r="8" spans="1:13" x14ac:dyDescent="0.25">
      <c r="D8" t="s">
        <v>24</v>
      </c>
    </row>
    <row r="9" spans="1:13" x14ac:dyDescent="0.25">
      <c r="C9" t="s">
        <v>25</v>
      </c>
    </row>
    <row r="10" spans="1:13" x14ac:dyDescent="0.25">
      <c r="C10" t="s">
        <v>26</v>
      </c>
    </row>
    <row r="11" spans="1:13" x14ac:dyDescent="0.25">
      <c r="D11" t="s">
        <v>23</v>
      </c>
    </row>
    <row r="12" spans="1:13" x14ac:dyDescent="0.25">
      <c r="E12" t="str">
        <f ca="1">Sheet1!P82</f>
        <v>&lt;itemSize&gt;0.125333333333333 0.24&lt;/itemSize&gt;</v>
      </c>
    </row>
    <row r="13" spans="1:13" x14ac:dyDescent="0.25">
      <c r="E13" t="str">
        <f ca="1">Sheet1!P83</f>
        <v>&lt;selectedItemMargins&gt;0.0250666666666667 0.0250666666666667&lt;/selectedItemMargins&gt;</v>
      </c>
    </row>
    <row r="14" spans="1:13" x14ac:dyDescent="0.25">
      <c r="E14" t="str">
        <f ca="1">Sheet1!P84</f>
        <v>&lt;maxItemCount&gt;7.18276137270551&lt;/maxItemCount&gt;</v>
      </c>
    </row>
    <row r="15" spans="1:13" x14ac:dyDescent="0.25">
      <c r="D15" t="s">
        <v>24</v>
      </c>
    </row>
    <row r="16" spans="1:13" x14ac:dyDescent="0.25">
      <c r="C16" t="s">
        <v>25</v>
      </c>
    </row>
    <row r="17" spans="2:5" x14ac:dyDescent="0.25">
      <c r="C17" t="s">
        <v>27</v>
      </c>
    </row>
    <row r="18" spans="2:5" x14ac:dyDescent="0.25">
      <c r="D18" t="s">
        <v>23</v>
      </c>
    </row>
    <row r="19" spans="2:5" x14ac:dyDescent="0.25">
      <c r="E19" t="str">
        <f ca="1">Sheet1!P154</f>
        <v>&lt;itemSize&gt;0.141 0.27&lt;/itemSize&gt;</v>
      </c>
    </row>
    <row r="20" spans="2:5" x14ac:dyDescent="0.25">
      <c r="E20" t="str">
        <f ca="1">Sheet1!P155</f>
        <v>&lt;selectedItemMargins&gt;0.0282 0.0282&lt;/selectedItemMargins&gt;</v>
      </c>
    </row>
    <row r="21" spans="2:5" x14ac:dyDescent="0.25">
      <c r="E21" t="str">
        <f ca="1">Sheet1!P156</f>
        <v>&lt;maxItemCount&gt;6.45624103299857&lt;/maxItemCount&gt;</v>
      </c>
    </row>
    <row r="22" spans="2:5" x14ac:dyDescent="0.25">
      <c r="D22" t="s">
        <v>24</v>
      </c>
    </row>
    <row r="23" spans="2:5" x14ac:dyDescent="0.25">
      <c r="C23" t="s">
        <v>25</v>
      </c>
    </row>
    <row r="24" spans="2:5" x14ac:dyDescent="0.25">
      <c r="B24" t="s">
        <v>6</v>
      </c>
    </row>
    <row r="25" spans="2:5" x14ac:dyDescent="0.25">
      <c r="B25" t="s">
        <v>21</v>
      </c>
    </row>
    <row r="26" spans="2:5" x14ac:dyDescent="0.25">
      <c r="C26" t="s">
        <v>22</v>
      </c>
    </row>
    <row r="27" spans="2:5" x14ac:dyDescent="0.25">
      <c r="D27" t="s">
        <v>23</v>
      </c>
    </row>
    <row r="28" spans="2:5" x14ac:dyDescent="0.25">
      <c r="E28" t="str">
        <f ca="1">Sheet1!Q8</f>
        <v>&lt;itemSize&gt;0.0979166666666667 0.214285714285714&lt;/itemSize&gt;</v>
      </c>
    </row>
    <row r="29" spans="2:5" x14ac:dyDescent="0.25">
      <c r="E29" t="str">
        <f ca="1">Sheet1!Q9</f>
        <v>&lt;selectedItemMargins&gt;0.0195833333333333 0.0195833333333333&lt;/selectedItemMargins&gt;</v>
      </c>
    </row>
    <row r="30" spans="2:5" x14ac:dyDescent="0.25">
      <c r="E30" t="str">
        <f ca="1">Sheet1!Q10</f>
        <v>&lt;maxItemCount&gt;9.08517350157729&lt;/maxItemCount&gt;</v>
      </c>
    </row>
    <row r="31" spans="2:5" x14ac:dyDescent="0.25">
      <c r="D31" t="s">
        <v>24</v>
      </c>
    </row>
    <row r="32" spans="2:5" x14ac:dyDescent="0.25">
      <c r="C32" t="s">
        <v>25</v>
      </c>
    </row>
    <row r="33" spans="2:5" x14ac:dyDescent="0.25">
      <c r="C33" t="s">
        <v>26</v>
      </c>
    </row>
    <row r="34" spans="2:5" x14ac:dyDescent="0.25">
      <c r="D34" t="s">
        <v>23</v>
      </c>
    </row>
    <row r="35" spans="2:5" x14ac:dyDescent="0.25">
      <c r="E35" t="str">
        <f ca="1">Sheet1!Q82</f>
        <v>&lt;itemSize&gt;0.111625 0.244285714285714&lt;/itemSize&gt;</v>
      </c>
    </row>
    <row r="36" spans="2:5" x14ac:dyDescent="0.25">
      <c r="E36" t="str">
        <f ca="1">Sheet1!Q83</f>
        <v>&lt;selectedItemMargins&gt;0.022325 0.022325&lt;/selectedItemMargins&gt;</v>
      </c>
    </row>
    <row r="37" spans="2:5" x14ac:dyDescent="0.25">
      <c r="E37" t="str">
        <f ca="1">Sheet1!Q84</f>
        <v>&lt;maxItemCount&gt;8.07899461400359&lt;/maxItemCount&gt;</v>
      </c>
    </row>
    <row r="38" spans="2:5" x14ac:dyDescent="0.25">
      <c r="D38" t="s">
        <v>24</v>
      </c>
    </row>
    <row r="39" spans="2:5" x14ac:dyDescent="0.25">
      <c r="C39" t="s">
        <v>25</v>
      </c>
    </row>
    <row r="40" spans="2:5" x14ac:dyDescent="0.25">
      <c r="C40" t="s">
        <v>27</v>
      </c>
    </row>
    <row r="41" spans="2:5" x14ac:dyDescent="0.25">
      <c r="D41" t="s">
        <v>23</v>
      </c>
    </row>
    <row r="42" spans="2:5" x14ac:dyDescent="0.25">
      <c r="E42" t="str">
        <f ca="1">Sheet1!Q154</f>
        <v>&lt;itemSize&gt;0.125333333333333 0.274285714285714&lt;/itemSize&gt;</v>
      </c>
    </row>
    <row r="43" spans="2:5" x14ac:dyDescent="0.25">
      <c r="E43" t="str">
        <f ca="1">Sheet1!Q155</f>
        <v>&lt;selectedItemMargins&gt;0.0250666666666667 0.0250666666666667&lt;/selectedItemMargins&gt;</v>
      </c>
    </row>
    <row r="44" spans="2:5" x14ac:dyDescent="0.25">
      <c r="E44" t="str">
        <f ca="1">Sheet1!Q156</f>
        <v>&lt;maxItemCount&gt;7.27346196585514&lt;/maxItemCount&gt;</v>
      </c>
    </row>
    <row r="45" spans="2:5" x14ac:dyDescent="0.25">
      <c r="D45" t="s">
        <v>24</v>
      </c>
    </row>
    <row r="46" spans="2:5" x14ac:dyDescent="0.25">
      <c r="C46" t="s">
        <v>25</v>
      </c>
    </row>
    <row r="47" spans="2:5" x14ac:dyDescent="0.25">
      <c r="B47" t="s">
        <v>6</v>
      </c>
    </row>
    <row r="48" spans="2:5" x14ac:dyDescent="0.25">
      <c r="B48" t="s">
        <v>7</v>
      </c>
    </row>
    <row r="49" spans="3:5" x14ac:dyDescent="0.25">
      <c r="C49" t="s">
        <v>22</v>
      </c>
    </row>
    <row r="50" spans="3:5" x14ac:dyDescent="0.25">
      <c r="D50" t="s">
        <v>23</v>
      </c>
    </row>
    <row r="51" spans="3:5" x14ac:dyDescent="0.25">
      <c r="E51" t="str">
        <f ca="1">Sheet1!R8</f>
        <v>&lt;itemSize&gt;0.0908666666666667 0.2175&lt;/itemSize&gt;</v>
      </c>
    </row>
    <row r="52" spans="3:5" x14ac:dyDescent="0.25">
      <c r="E52" t="str">
        <f ca="1">Sheet1!R9</f>
        <v>&lt;selectedItemMargins&gt;0.0181733333333333 0.0181733333333333&lt;/selectedItemMargins&gt;</v>
      </c>
    </row>
    <row r="53" spans="3:5" x14ac:dyDescent="0.25">
      <c r="E53" t="str">
        <f ca="1">Sheet1!R10</f>
        <v>&lt;maxItemCount&gt;9.80605796469819&lt;/maxItemCount&gt;</v>
      </c>
    </row>
    <row r="54" spans="3:5" x14ac:dyDescent="0.25">
      <c r="D54" t="s">
        <v>24</v>
      </c>
    </row>
    <row r="55" spans="3:5" x14ac:dyDescent="0.25">
      <c r="C55" t="s">
        <v>25</v>
      </c>
    </row>
    <row r="56" spans="3:5" x14ac:dyDescent="0.25">
      <c r="C56" t="s">
        <v>26</v>
      </c>
    </row>
    <row r="57" spans="3:5" x14ac:dyDescent="0.25">
      <c r="D57" t="s">
        <v>23</v>
      </c>
    </row>
    <row r="58" spans="3:5" x14ac:dyDescent="0.25">
      <c r="E58" t="str">
        <f ca="1">Sheet1!R82</f>
        <v>&lt;itemSize&gt;0.1034 0.2475&lt;/itemSize&gt;</v>
      </c>
    </row>
    <row r="59" spans="3:5" x14ac:dyDescent="0.25">
      <c r="E59" t="str">
        <f ca="1">Sheet1!R83</f>
        <v>&lt;selectedItemMargins&gt;0.02068 0.02068&lt;/selectedItemMargins&gt;</v>
      </c>
    </row>
    <row r="60" spans="3:5" x14ac:dyDescent="0.25">
      <c r="E60" t="str">
        <f ca="1">Sheet1!R84</f>
        <v>&lt;maxItemCount&gt;8.73277702309334&lt;/maxItemCount&gt;</v>
      </c>
    </row>
    <row r="61" spans="3:5" x14ac:dyDescent="0.25">
      <c r="D61" t="s">
        <v>24</v>
      </c>
    </row>
    <row r="62" spans="3:5" x14ac:dyDescent="0.25">
      <c r="C62" t="s">
        <v>25</v>
      </c>
    </row>
    <row r="63" spans="3:5" x14ac:dyDescent="0.25">
      <c r="C63" t="s">
        <v>27</v>
      </c>
    </row>
    <row r="64" spans="3:5" x14ac:dyDescent="0.25">
      <c r="D64" t="s">
        <v>23</v>
      </c>
    </row>
    <row r="65" spans="2:5" x14ac:dyDescent="0.25">
      <c r="E65" t="str">
        <f ca="1">Sheet1!R154</f>
        <v>&lt;itemSize&gt;0.115933333333333 0.2775&lt;/itemSize&gt;</v>
      </c>
    </row>
    <row r="66" spans="2:5" x14ac:dyDescent="0.25">
      <c r="E66" t="str">
        <f ca="1">Sheet1!R155</f>
        <v>&lt;selectedItemMargins&gt;0.0231866666666667 0.0231866666666667&lt;/selectedItemMargins&gt;</v>
      </c>
    </row>
    <row r="67" spans="2:5" x14ac:dyDescent="0.25">
      <c r="E67" t="str">
        <f ca="1">Sheet1!R156</f>
        <v>&lt;maxItemCount&gt;7.8712611509533&lt;/maxItemCount&gt;</v>
      </c>
    </row>
    <row r="68" spans="2:5" x14ac:dyDescent="0.25">
      <c r="D68" t="s">
        <v>24</v>
      </c>
    </row>
    <row r="69" spans="2:5" x14ac:dyDescent="0.25">
      <c r="C69" t="s">
        <v>25</v>
      </c>
    </row>
    <row r="70" spans="2:5" x14ac:dyDescent="0.25">
      <c r="B70" t="s">
        <v>6</v>
      </c>
    </row>
    <row r="71" spans="2:5" x14ac:dyDescent="0.25">
      <c r="B71" t="s">
        <v>8</v>
      </c>
    </row>
    <row r="72" spans="2:5" x14ac:dyDescent="0.25">
      <c r="C72" t="s">
        <v>22</v>
      </c>
    </row>
    <row r="73" spans="2:5" x14ac:dyDescent="0.25">
      <c r="D73" t="s">
        <v>23</v>
      </c>
    </row>
    <row r="74" spans="2:5" x14ac:dyDescent="0.25">
      <c r="E74" t="str">
        <f ca="1">Sheet1!S8</f>
        <v>&lt;itemSize&gt;0.0861666666666667 0.22&lt;/itemSize&gt;</v>
      </c>
    </row>
    <row r="75" spans="2:5" x14ac:dyDescent="0.25">
      <c r="E75" t="str">
        <f ca="1">Sheet1!S9</f>
        <v>&lt;selectedItemMargins&gt;0.0172333333333333 0.0172333333333333&lt;/selectedItemMargins&gt;</v>
      </c>
    </row>
    <row r="76" spans="2:5" x14ac:dyDescent="0.25">
      <c r="E76" t="str">
        <f ca="1">Sheet1!S10</f>
        <v>&lt;maxItemCount&gt;10.3537532355479&lt;/maxItemCount&gt;</v>
      </c>
    </row>
    <row r="77" spans="2:5" x14ac:dyDescent="0.25">
      <c r="D77" t="s">
        <v>24</v>
      </c>
    </row>
    <row r="78" spans="2:5" x14ac:dyDescent="0.25">
      <c r="C78" t="s">
        <v>25</v>
      </c>
    </row>
    <row r="79" spans="2:5" x14ac:dyDescent="0.25">
      <c r="C79" t="s">
        <v>26</v>
      </c>
    </row>
    <row r="80" spans="2:5" x14ac:dyDescent="0.25">
      <c r="D80" t="s">
        <v>23</v>
      </c>
    </row>
    <row r="81" spans="2:5" x14ac:dyDescent="0.25">
      <c r="E81" t="str">
        <f ca="1">Sheet1!S82</f>
        <v>&lt;itemSize&gt;0.0979166666666667 0.25&lt;/itemSize&gt;</v>
      </c>
    </row>
    <row r="82" spans="2:5" x14ac:dyDescent="0.25">
      <c r="E82" t="str">
        <f ca="1">Sheet1!S83</f>
        <v>&lt;selectedItemMargins&gt;0.0195833333333333 0.0195833333333333&lt;/selectedItemMargins&gt;</v>
      </c>
    </row>
    <row r="83" spans="2:5" x14ac:dyDescent="0.25">
      <c r="E83" t="str">
        <f ca="1">Sheet1!S84</f>
        <v>&lt;maxItemCount&gt;9.23076923076923&lt;/maxItemCount&gt;</v>
      </c>
    </row>
    <row r="84" spans="2:5" x14ac:dyDescent="0.25">
      <c r="D84" t="s">
        <v>24</v>
      </c>
    </row>
    <row r="85" spans="2:5" x14ac:dyDescent="0.25">
      <c r="C85" t="s">
        <v>25</v>
      </c>
    </row>
    <row r="86" spans="2:5" x14ac:dyDescent="0.25">
      <c r="C86" t="s">
        <v>27</v>
      </c>
    </row>
    <row r="87" spans="2:5" x14ac:dyDescent="0.25">
      <c r="D87" t="s">
        <v>23</v>
      </c>
    </row>
    <row r="88" spans="2:5" x14ac:dyDescent="0.25">
      <c r="E88" t="str">
        <f ca="1">Sheet1!S154</f>
        <v>&lt;itemSize&gt;0.109666666666667 0.28&lt;/itemSize&gt;</v>
      </c>
    </row>
    <row r="89" spans="2:5" x14ac:dyDescent="0.25">
      <c r="E89" t="str">
        <f ca="1">Sheet1!S155</f>
        <v>&lt;selectedItemMargins&gt;0.0219333333333333 0.0219333333333333&lt;/selectedItemMargins&gt;</v>
      </c>
    </row>
    <row r="90" spans="2:5" x14ac:dyDescent="0.25">
      <c r="E90" t="str">
        <f ca="1">Sheet1!S156</f>
        <v>&lt;maxItemCount&gt;8.32755031228314&lt;/maxItemCount&gt;</v>
      </c>
    </row>
    <row r="91" spans="2:5" x14ac:dyDescent="0.25">
      <c r="D91" t="s">
        <v>24</v>
      </c>
    </row>
    <row r="92" spans="2:5" x14ac:dyDescent="0.25">
      <c r="C92" t="s">
        <v>25</v>
      </c>
    </row>
    <row r="93" spans="2:5" x14ac:dyDescent="0.25">
      <c r="B93" t="s">
        <v>6</v>
      </c>
    </row>
    <row r="94" spans="2:5" x14ac:dyDescent="0.25">
      <c r="B94" t="s">
        <v>9</v>
      </c>
    </row>
    <row r="95" spans="2:5" x14ac:dyDescent="0.25">
      <c r="C95" t="s">
        <v>22</v>
      </c>
    </row>
    <row r="96" spans="2:5" x14ac:dyDescent="0.25">
      <c r="D96" t="s">
        <v>23</v>
      </c>
    </row>
    <row r="97" spans="3:5" x14ac:dyDescent="0.25">
      <c r="E97" t="str">
        <f ca="1">Sheet1!T8</f>
        <v>&lt;itemSize&gt;0.0783333333333333 0.225&lt;/itemSize&gt;</v>
      </c>
    </row>
    <row r="98" spans="3:5" x14ac:dyDescent="0.25">
      <c r="E98" t="str">
        <f ca="1">Sheet1!T9</f>
        <v>&lt;selectedItemMargins&gt;0.0156666666666667 0.0156666666666667&lt;/selectedItemMargins&gt;</v>
      </c>
    </row>
    <row r="99" spans="3:5" x14ac:dyDescent="0.25">
      <c r="E99" t="str">
        <f ca="1">Sheet1!T10</f>
        <v>&lt;maxItemCount&gt;11.4164904862579&lt;/maxItemCount&gt;</v>
      </c>
    </row>
    <row r="100" spans="3:5" x14ac:dyDescent="0.25">
      <c r="D100" t="s">
        <v>24</v>
      </c>
    </row>
    <row r="101" spans="3:5" x14ac:dyDescent="0.25">
      <c r="C101" t="s">
        <v>25</v>
      </c>
    </row>
    <row r="102" spans="3:5" x14ac:dyDescent="0.25">
      <c r="C102" t="s">
        <v>26</v>
      </c>
    </row>
    <row r="103" spans="3:5" x14ac:dyDescent="0.25">
      <c r="D103" t="s">
        <v>23</v>
      </c>
    </row>
    <row r="104" spans="3:5" x14ac:dyDescent="0.25">
      <c r="E104" t="str">
        <f ca="1">Sheet1!T82</f>
        <v>&lt;itemSize&gt;0.0887777777777778 0.255&lt;/itemSize&gt;</v>
      </c>
    </row>
    <row r="105" spans="3:5" x14ac:dyDescent="0.25">
      <c r="E105" t="str">
        <f ca="1">Sheet1!T83</f>
        <v>&lt;selectedItemMargins&gt;0.0177555555555555 0.0177555555555555&lt;/selectedItemMargins&gt;</v>
      </c>
    </row>
    <row r="106" spans="3:5" x14ac:dyDescent="0.25">
      <c r="E106" t="str">
        <f ca="1">Sheet1!T84</f>
        <v>&lt;maxItemCount&gt;10.2002266717038&lt;/maxItemCount&gt;</v>
      </c>
    </row>
    <row r="107" spans="3:5" x14ac:dyDescent="0.25">
      <c r="D107" t="s">
        <v>24</v>
      </c>
    </row>
    <row r="108" spans="3:5" x14ac:dyDescent="0.25">
      <c r="C108" t="s">
        <v>25</v>
      </c>
    </row>
    <row r="109" spans="3:5" x14ac:dyDescent="0.25">
      <c r="C109" t="s">
        <v>27</v>
      </c>
    </row>
    <row r="110" spans="3:5" x14ac:dyDescent="0.25">
      <c r="D110" t="s">
        <v>23</v>
      </c>
    </row>
    <row r="111" spans="3:5" x14ac:dyDescent="0.25">
      <c r="E111" t="str">
        <f ca="1">Sheet1!T154</f>
        <v>&lt;itemSize&gt;0.0992222222222222 0.285&lt;/itemSize&gt;</v>
      </c>
    </row>
    <row r="112" spans="3:5" x14ac:dyDescent="0.25">
      <c r="E112" t="str">
        <f ca="1">Sheet1!T155</f>
        <v>&lt;selectedItemMargins&gt;0.0198444444444444 0.0198444444444444&lt;/selectedItemMargins&gt;</v>
      </c>
    </row>
    <row r="113" spans="2:5" x14ac:dyDescent="0.25">
      <c r="E113" t="str">
        <f ca="1">Sheet1!T156</f>
        <v>&lt;maxItemCount&gt;9.21816319562991&lt;/maxItemCount&gt;</v>
      </c>
    </row>
    <row r="114" spans="2:5" x14ac:dyDescent="0.25">
      <c r="D114" t="s">
        <v>24</v>
      </c>
    </row>
    <row r="115" spans="2:5" x14ac:dyDescent="0.25">
      <c r="C115" t="s">
        <v>25</v>
      </c>
    </row>
    <row r="116" spans="2:5" x14ac:dyDescent="0.25">
      <c r="B116" t="s">
        <v>6</v>
      </c>
    </row>
    <row r="117" spans="2:5" x14ac:dyDescent="0.25">
      <c r="B117" t="s">
        <v>10</v>
      </c>
    </row>
    <row r="118" spans="2:5" x14ac:dyDescent="0.25">
      <c r="C118" t="s">
        <v>22</v>
      </c>
    </row>
    <row r="119" spans="2:5" x14ac:dyDescent="0.25">
      <c r="D119" t="s">
        <v>23</v>
      </c>
    </row>
    <row r="120" spans="2:5" x14ac:dyDescent="0.25">
      <c r="E120" t="str">
        <f ca="1">Sheet1!U8</f>
        <v>&lt;itemSize&gt;0.0744166666666667 0.228&lt;/itemSize&gt;</v>
      </c>
    </row>
    <row r="121" spans="2:5" x14ac:dyDescent="0.25">
      <c r="E121" t="str">
        <f ca="1">Sheet1!U9</f>
        <v>&lt;selectedItemMargins&gt;0.0148833333333333 0.0148833333333333&lt;/selectedItemMargins&gt;</v>
      </c>
    </row>
    <row r="122" spans="2:5" x14ac:dyDescent="0.25">
      <c r="E122" t="str">
        <f ca="1">Sheet1!U10</f>
        <v>&lt;maxItemCount&gt;12.0340966070533&lt;/maxItemCount&gt;</v>
      </c>
    </row>
    <row r="123" spans="2:5" x14ac:dyDescent="0.25">
      <c r="D123" t="s">
        <v>24</v>
      </c>
    </row>
    <row r="124" spans="2:5" x14ac:dyDescent="0.25">
      <c r="C124" t="s">
        <v>25</v>
      </c>
    </row>
    <row r="125" spans="2:5" x14ac:dyDescent="0.25">
      <c r="C125" t="s">
        <v>26</v>
      </c>
    </row>
    <row r="126" spans="2:5" x14ac:dyDescent="0.25">
      <c r="D126" t="s">
        <v>23</v>
      </c>
    </row>
    <row r="127" spans="2:5" x14ac:dyDescent="0.25">
      <c r="E127" t="str">
        <f ca="1">Sheet1!U82</f>
        <v>&lt;itemSize&gt;0.0842083333333333 0.258&lt;/itemSize&gt;</v>
      </c>
    </row>
    <row r="128" spans="2:5" x14ac:dyDescent="0.25">
      <c r="E128" t="str">
        <f ca="1">Sheet1!U83</f>
        <v>&lt;selectedItemMargins&gt;0.0168416666666667 0.0168416666666667&lt;/selectedItemMargins&gt;</v>
      </c>
    </row>
    <row r="129" spans="2:5" x14ac:dyDescent="0.25">
      <c r="E129" t="str">
        <f ca="1">Sheet1!U84</f>
        <v>&lt;maxItemCount&gt;10.7655502392345&lt;/maxItemCount&gt;</v>
      </c>
    </row>
    <row r="130" spans="2:5" x14ac:dyDescent="0.25">
      <c r="D130" t="s">
        <v>24</v>
      </c>
    </row>
    <row r="131" spans="2:5" x14ac:dyDescent="0.25">
      <c r="C131" t="s">
        <v>25</v>
      </c>
    </row>
    <row r="132" spans="2:5" x14ac:dyDescent="0.25">
      <c r="C132" t="s">
        <v>27</v>
      </c>
    </row>
    <row r="133" spans="2:5" x14ac:dyDescent="0.25">
      <c r="D133" t="s">
        <v>23</v>
      </c>
    </row>
    <row r="134" spans="2:5" x14ac:dyDescent="0.25">
      <c r="E134" t="str">
        <f ca="1">Sheet1!U154</f>
        <v>&lt;itemSize&gt;0.094 0.288&lt;/itemSize&gt;</v>
      </c>
    </row>
    <row r="135" spans="2:5" x14ac:dyDescent="0.25">
      <c r="E135" t="str">
        <f ca="1">Sheet1!U155</f>
        <v>&lt;selectedItemMargins&gt;0.0188 0.0188&lt;/selectedItemMargins&gt;</v>
      </c>
    </row>
    <row r="136" spans="2:5" x14ac:dyDescent="0.25">
      <c r="E136" t="str">
        <f ca="1">Sheet1!U156</f>
        <v>&lt;maxItemCount&gt;9.73894224266198&lt;/maxItemCount&gt;</v>
      </c>
    </row>
    <row r="137" spans="2:5" x14ac:dyDescent="0.25">
      <c r="D137" t="s">
        <v>24</v>
      </c>
    </row>
    <row r="138" spans="2:5" x14ac:dyDescent="0.25">
      <c r="C138" t="s">
        <v>25</v>
      </c>
    </row>
    <row r="139" spans="2:5" x14ac:dyDescent="0.25">
      <c r="B139" t="s">
        <v>6</v>
      </c>
    </row>
    <row r="140" spans="2:5" x14ac:dyDescent="0.25">
      <c r="B140" t="s">
        <v>11</v>
      </c>
    </row>
    <row r="141" spans="2:5" x14ac:dyDescent="0.25">
      <c r="C141" t="s">
        <v>22</v>
      </c>
    </row>
    <row r="142" spans="2:5" x14ac:dyDescent="0.25">
      <c r="D142" t="s">
        <v>23</v>
      </c>
    </row>
    <row r="143" spans="2:5" x14ac:dyDescent="0.25">
      <c r="E143" t="str">
        <f ca="1">Sheet1!V8</f>
        <v>&lt;itemSize&gt;0.0685416666666667 0.233333333333333&lt;/itemSize&gt;</v>
      </c>
    </row>
    <row r="144" spans="2:5" x14ac:dyDescent="0.25">
      <c r="E144" t="str">
        <f ca="1">Sheet1!V9</f>
        <v>&lt;selectedItemMargins&gt;0.0137083333333333 0.0137083333333333&lt;/selectedItemMargins&gt;</v>
      </c>
    </row>
    <row r="145" spans="3:5" x14ac:dyDescent="0.25">
      <c r="E145" t="str">
        <f ca="1">Sheet1!V10</f>
        <v>&lt;maxItemCount&gt;13.0968622100955&lt;/maxItemCount&gt;</v>
      </c>
    </row>
    <row r="146" spans="3:5" x14ac:dyDescent="0.25">
      <c r="D146" t="s">
        <v>24</v>
      </c>
    </row>
    <row r="147" spans="3:5" x14ac:dyDescent="0.25">
      <c r="C147" t="s">
        <v>25</v>
      </c>
    </row>
    <row r="148" spans="3:5" x14ac:dyDescent="0.25">
      <c r="C148" t="s">
        <v>26</v>
      </c>
    </row>
    <row r="149" spans="3:5" x14ac:dyDescent="0.25">
      <c r="D149" t="s">
        <v>23</v>
      </c>
    </row>
    <row r="150" spans="3:5" x14ac:dyDescent="0.25">
      <c r="E150" t="str">
        <f ca="1">Sheet1!V82</f>
        <v>&lt;itemSize&gt;0.0773541666666667 0.263333333333333&lt;/itemSize&gt;</v>
      </c>
    </row>
    <row r="151" spans="3:5" x14ac:dyDescent="0.25">
      <c r="E151" t="str">
        <f ca="1">Sheet1!V83</f>
        <v>&lt;selectedItemMargins&gt;0.0154708333333333 0.0154708333333333&lt;/selectedItemMargins&gt;</v>
      </c>
    </row>
    <row r="152" spans="3:5" x14ac:dyDescent="0.25">
      <c r="E152" t="str">
        <f ca="1">Sheet1!V84</f>
        <v>&lt;maxItemCount&gt;11.7416829745597&lt;/maxItemCount&gt;</v>
      </c>
    </row>
    <row r="153" spans="3:5" x14ac:dyDescent="0.25">
      <c r="D153" t="s">
        <v>24</v>
      </c>
    </row>
    <row r="154" spans="3:5" x14ac:dyDescent="0.25">
      <c r="C154" t="s">
        <v>25</v>
      </c>
    </row>
    <row r="155" spans="3:5" x14ac:dyDescent="0.25">
      <c r="C155" t="s">
        <v>27</v>
      </c>
    </row>
    <row r="156" spans="3:5" x14ac:dyDescent="0.25">
      <c r="D156" t="s">
        <v>23</v>
      </c>
    </row>
    <row r="157" spans="3:5" x14ac:dyDescent="0.25">
      <c r="E157" t="str">
        <f ca="1">Sheet1!V154</f>
        <v>&lt;itemSize&gt;0.0861666666666667 0.293333333333333&lt;/itemSize&gt;</v>
      </c>
    </row>
    <row r="158" spans="3:5" x14ac:dyDescent="0.25">
      <c r="E158" t="str">
        <f ca="1">Sheet1!V155</f>
        <v>&lt;selectedItemMargins&gt;0.0172333333333333 0.0172333333333333&lt;/selectedItemMargins&gt;</v>
      </c>
    </row>
    <row r="159" spans="3:5" x14ac:dyDescent="0.25">
      <c r="E159" t="str">
        <f ca="1">Sheet1!V156</f>
        <v>&lt;maxItemCount&gt;10.6406561737974&lt;/maxItemCount&gt;</v>
      </c>
    </row>
    <row r="160" spans="3:5" x14ac:dyDescent="0.25">
      <c r="D160" t="s">
        <v>24</v>
      </c>
    </row>
    <row r="161" spans="2:5" x14ac:dyDescent="0.25">
      <c r="C161" t="s">
        <v>25</v>
      </c>
    </row>
    <row r="162" spans="2:5" x14ac:dyDescent="0.25">
      <c r="B162" t="s">
        <v>6</v>
      </c>
    </row>
    <row r="163" spans="2:5" x14ac:dyDescent="0.25">
      <c r="B163" t="s">
        <v>12</v>
      </c>
    </row>
    <row r="164" spans="2:5" x14ac:dyDescent="0.25">
      <c r="C164" t="s">
        <v>22</v>
      </c>
    </row>
    <row r="165" spans="2:5" x14ac:dyDescent="0.25">
      <c r="D165" t="s">
        <v>23</v>
      </c>
    </row>
    <row r="166" spans="2:5" x14ac:dyDescent="0.25">
      <c r="E166" t="str">
        <f ca="1">Sheet1!W8</f>
        <v>&lt;itemSize&gt;0.0590512820512821 0.245&lt;/itemSize&gt;</v>
      </c>
    </row>
    <row r="167" spans="2:5" x14ac:dyDescent="0.25">
      <c r="E167" t="str">
        <f ca="1">Sheet1!W9</f>
        <v>&lt;selectedItemMargins&gt;0.0118102564102564 0.0118102564102564&lt;/selectedItemMargins&gt;</v>
      </c>
    </row>
    <row r="168" spans="2:5" x14ac:dyDescent="0.25">
      <c r="E168" t="str">
        <f ca="1">Sheet1!W10</f>
        <v>&lt;maxItemCount&gt;15.2761457109283&lt;/maxItemCount&gt;</v>
      </c>
    </row>
    <row r="169" spans="2:5" x14ac:dyDescent="0.25">
      <c r="D169" t="s">
        <v>24</v>
      </c>
    </row>
    <row r="170" spans="2:5" x14ac:dyDescent="0.25">
      <c r="C170" t="s">
        <v>25</v>
      </c>
    </row>
    <row r="171" spans="2:5" x14ac:dyDescent="0.25">
      <c r="C171" t="s">
        <v>26</v>
      </c>
    </row>
    <row r="172" spans="2:5" x14ac:dyDescent="0.25">
      <c r="D172" t="s">
        <v>23</v>
      </c>
    </row>
    <row r="173" spans="2:5" x14ac:dyDescent="0.25">
      <c r="E173" t="str">
        <f ca="1">Sheet1!W82</f>
        <v>&lt;itemSize&gt;0.0662820512820513 0.275&lt;/itemSize&gt;</v>
      </c>
    </row>
    <row r="174" spans="2:5" x14ac:dyDescent="0.25">
      <c r="E174" t="str">
        <f ca="1">Sheet1!W83</f>
        <v>&lt;selectedItemMargins&gt;0.0132564102564103 0.0132564102564103&lt;/selectedItemMargins&gt;</v>
      </c>
    </row>
    <row r="175" spans="2:5" x14ac:dyDescent="0.25">
      <c r="E175" t="str">
        <f ca="1">Sheet1!W84</f>
        <v>&lt;maxItemCount&gt;13.7566137566138&lt;/maxItemCount&gt;</v>
      </c>
    </row>
    <row r="176" spans="2:5" x14ac:dyDescent="0.25">
      <c r="D176" t="s">
        <v>24</v>
      </c>
    </row>
    <row r="177" spans="2:5" x14ac:dyDescent="0.25">
      <c r="C177" t="s">
        <v>25</v>
      </c>
    </row>
    <row r="178" spans="2:5" x14ac:dyDescent="0.25">
      <c r="C178" t="s">
        <v>27</v>
      </c>
    </row>
    <row r="179" spans="2:5" x14ac:dyDescent="0.25">
      <c r="D179" t="s">
        <v>23</v>
      </c>
    </row>
    <row r="180" spans="2:5" x14ac:dyDescent="0.25">
      <c r="E180" t="str">
        <f ca="1">Sheet1!W154</f>
        <v>&lt;itemSize&gt;0.0735128205128205 0.305&lt;/itemSize&gt;</v>
      </c>
    </row>
    <row r="181" spans="2:5" x14ac:dyDescent="0.25">
      <c r="E181" t="str">
        <f ca="1">Sheet1!W155</f>
        <v>&lt;selectedItemMargins&gt;0.0147025641025641 0.0147025641025641&lt;/selectedItemMargins&gt;</v>
      </c>
    </row>
    <row r="182" spans="2:5" x14ac:dyDescent="0.25">
      <c r="E182" t="str">
        <f ca="1">Sheet1!W156</f>
        <v>&lt;maxItemCount&gt;12.512030798845&lt;/maxItemCount&gt;</v>
      </c>
    </row>
    <row r="183" spans="2:5" x14ac:dyDescent="0.25">
      <c r="D183" t="s">
        <v>24</v>
      </c>
    </row>
    <row r="184" spans="2:5" x14ac:dyDescent="0.25">
      <c r="C184" t="s">
        <v>25</v>
      </c>
    </row>
    <row r="185" spans="2:5" x14ac:dyDescent="0.25">
      <c r="B185" t="s">
        <v>6</v>
      </c>
    </row>
    <row r="186" spans="2:5" x14ac:dyDescent="0.25">
      <c r="B186" t="s">
        <v>13</v>
      </c>
    </row>
    <row r="187" spans="2:5" x14ac:dyDescent="0.25">
      <c r="C187" t="s">
        <v>22</v>
      </c>
    </row>
    <row r="188" spans="2:5" x14ac:dyDescent="0.25">
      <c r="D188" t="s">
        <v>23</v>
      </c>
    </row>
    <row r="189" spans="2:5" x14ac:dyDescent="0.25">
      <c r="E189" t="str">
        <f ca="1">Sheet1!X8</f>
        <v>&lt;itemSize&gt;0.055952380952381 0.25&lt;/itemSize&gt;</v>
      </c>
    </row>
    <row r="190" spans="2:5" x14ac:dyDescent="0.25">
      <c r="E190" t="str">
        <f ca="1">Sheet1!X9</f>
        <v>&lt;selectedItemMargins&gt;0.0111904761904762 0.0111904761904762&lt;/selectedItemMargins&gt;</v>
      </c>
    </row>
    <row r="191" spans="2:5" x14ac:dyDescent="0.25">
      <c r="E191" t="str">
        <f ca="1">Sheet1!X10</f>
        <v>&lt;maxItemCount&gt;16.1538461538462&lt;/maxItemCount&gt;</v>
      </c>
    </row>
    <row r="192" spans="2:5" x14ac:dyDescent="0.25">
      <c r="D192" t="s">
        <v>24</v>
      </c>
    </row>
    <row r="193" spans="2:5" x14ac:dyDescent="0.25">
      <c r="C193" t="s">
        <v>25</v>
      </c>
    </row>
    <row r="194" spans="2:5" x14ac:dyDescent="0.25">
      <c r="C194" t="s">
        <v>26</v>
      </c>
    </row>
    <row r="195" spans="2:5" x14ac:dyDescent="0.25">
      <c r="D195" t="s">
        <v>23</v>
      </c>
    </row>
    <row r="196" spans="2:5" x14ac:dyDescent="0.25">
      <c r="E196" t="str">
        <f ca="1">Sheet1!X82</f>
        <v>&lt;itemSize&gt;0.0626666666666667 0.28&lt;/itemSize&gt;</v>
      </c>
    </row>
    <row r="197" spans="2:5" x14ac:dyDescent="0.25">
      <c r="E197" t="str">
        <f ca="1">Sheet1!X83</f>
        <v>&lt;selectedItemMargins&gt;0.0125333333333333 0.0125333333333333&lt;/selectedItemMargins&gt;</v>
      </c>
    </row>
    <row r="198" spans="2:5" x14ac:dyDescent="0.25">
      <c r="E198" t="str">
        <f ca="1">Sheet1!X84</f>
        <v>&lt;maxItemCount&gt;14.5732130464955&lt;/maxItemCount&gt;</v>
      </c>
    </row>
    <row r="199" spans="2:5" x14ac:dyDescent="0.25">
      <c r="D199" t="s">
        <v>24</v>
      </c>
    </row>
    <row r="200" spans="2:5" x14ac:dyDescent="0.25">
      <c r="C200" t="s">
        <v>25</v>
      </c>
    </row>
    <row r="201" spans="2:5" x14ac:dyDescent="0.25">
      <c r="C201" t="s">
        <v>27</v>
      </c>
    </row>
    <row r="202" spans="2:5" x14ac:dyDescent="0.25">
      <c r="D202" t="s">
        <v>23</v>
      </c>
    </row>
    <row r="203" spans="2:5" x14ac:dyDescent="0.25">
      <c r="E203" t="str">
        <f ca="1">Sheet1!X154</f>
        <v>&lt;itemSize&gt;0.0693809523809524 0.31&lt;/itemSize&gt;</v>
      </c>
    </row>
    <row r="204" spans="2:5" x14ac:dyDescent="0.25">
      <c r="E204" t="str">
        <f ca="1">Sheet1!X155</f>
        <v>&lt;selectedItemMargins&gt;0.0138761904761905 0.0138761904761905&lt;/selectedItemMargins&gt;</v>
      </c>
    </row>
    <row r="205" spans="2:5" x14ac:dyDescent="0.25">
      <c r="E205" t="str">
        <f ca="1">Sheet1!X156</f>
        <v>&lt;maxItemCount&gt;13.2743362831858&lt;/maxItemCount&gt;</v>
      </c>
    </row>
    <row r="206" spans="2:5" x14ac:dyDescent="0.25">
      <c r="D206" t="s">
        <v>24</v>
      </c>
    </row>
    <row r="207" spans="2:5" x14ac:dyDescent="0.25">
      <c r="C207" t="s">
        <v>25</v>
      </c>
    </row>
    <row r="208" spans="2:5" x14ac:dyDescent="0.25">
      <c r="B208" t="s">
        <v>6</v>
      </c>
    </row>
    <row r="209" spans="2:5" x14ac:dyDescent="0.25">
      <c r="B209" t="s">
        <v>20</v>
      </c>
    </row>
    <row r="210" spans="2:5" x14ac:dyDescent="0.25">
      <c r="C210" t="s">
        <v>22</v>
      </c>
    </row>
    <row r="211" spans="2:5" x14ac:dyDescent="0.25">
      <c r="D211" t="s">
        <v>23</v>
      </c>
    </row>
    <row r="212" spans="2:5" x14ac:dyDescent="0.25">
      <c r="E212" t="str">
        <f ca="1">Sheet1!Y8</f>
        <v>&lt;itemSize&gt;0.0421041666666667 0.286666666666667&lt;/itemSize&gt;</v>
      </c>
    </row>
    <row r="213" spans="2:5" x14ac:dyDescent="0.25">
      <c r="E213" t="str">
        <f ca="1">Sheet1!Y9</f>
        <v>&lt;selectedItemMargins&gt;0.00842083333333333 0.00842083333333333&lt;/selectedItemMargins&gt;</v>
      </c>
    </row>
    <row r="214" spans="2:5" x14ac:dyDescent="0.25">
      <c r="E214" t="str">
        <f ca="1">Sheet1!Y10</f>
        <v>&lt;maxItemCount&gt;21.7342087389631&lt;/maxItemCount&gt;</v>
      </c>
    </row>
    <row r="215" spans="2:5" x14ac:dyDescent="0.25">
      <c r="D215" t="s">
        <v>24</v>
      </c>
    </row>
    <row r="216" spans="2:5" x14ac:dyDescent="0.25">
      <c r="C216" t="s">
        <v>25</v>
      </c>
    </row>
    <row r="217" spans="2:5" x14ac:dyDescent="0.25">
      <c r="C217" t="s">
        <v>26</v>
      </c>
    </row>
    <row r="218" spans="2:5" x14ac:dyDescent="0.25">
      <c r="D218" t="s">
        <v>23</v>
      </c>
    </row>
    <row r="219" spans="2:5" x14ac:dyDescent="0.25">
      <c r="E219" t="str">
        <f ca="1">Sheet1!Y82</f>
        <v>&lt;itemSize&gt;0.0465104166666667 0.316666666666667&lt;/itemSize&gt;</v>
      </c>
    </row>
    <row r="220" spans="2:5" x14ac:dyDescent="0.25">
      <c r="E220" t="str">
        <f ca="1">Sheet1!Y83</f>
        <v>&lt;selectedItemMargins&gt;0.00930208333333333 0.00930208333333333&lt;/selectedItemMargins&gt;</v>
      </c>
    </row>
    <row r="221" spans="2:5" x14ac:dyDescent="0.25">
      <c r="E221" t="str">
        <f ca="1">Sheet1!Y84</f>
        <v>&lt;maxItemCount&gt;19.8347107438017&lt;/maxItemCount&gt;</v>
      </c>
    </row>
    <row r="222" spans="2:5" x14ac:dyDescent="0.25">
      <c r="D222" t="s">
        <v>24</v>
      </c>
    </row>
    <row r="223" spans="2:5" x14ac:dyDescent="0.25">
      <c r="C223" t="s">
        <v>25</v>
      </c>
    </row>
    <row r="224" spans="2:5" x14ac:dyDescent="0.25">
      <c r="C224" t="s">
        <v>27</v>
      </c>
    </row>
    <row r="225" spans="1:5" x14ac:dyDescent="0.25">
      <c r="D225" t="s">
        <v>23</v>
      </c>
    </row>
    <row r="226" spans="1:5" x14ac:dyDescent="0.25">
      <c r="E226" t="str">
        <f ca="1">Sheet1!Y154</f>
        <v>&lt;itemSize&gt;0.0509166666666667 0.346666666666667&lt;/itemSize&gt;</v>
      </c>
    </row>
    <row r="227" spans="1:5" x14ac:dyDescent="0.25">
      <c r="E227" t="str">
        <f ca="1">Sheet1!Y155</f>
        <v>&lt;selectedItemMargins&gt;0.0101833333333333 0.0101833333333333&lt;/selectedItemMargins&gt;</v>
      </c>
    </row>
    <row r="228" spans="1:5" x14ac:dyDescent="0.25">
      <c r="E228" t="str">
        <f ca="1">Sheet1!Y156</f>
        <v>&lt;maxItemCount&gt;18.2405472164165&lt;/maxItemCount&gt;</v>
      </c>
    </row>
    <row r="229" spans="1:5" x14ac:dyDescent="0.25">
      <c r="D229" t="s">
        <v>24</v>
      </c>
    </row>
    <row r="230" spans="1:5" x14ac:dyDescent="0.25">
      <c r="C230" t="s">
        <v>25</v>
      </c>
    </row>
    <row r="231" spans="1:5" x14ac:dyDescent="0.25">
      <c r="B231" t="s">
        <v>6</v>
      </c>
    </row>
    <row r="232" spans="1:5" x14ac:dyDescent="0.25">
      <c r="A232" t="s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ExportPlainTextAsXml">
                <anchor moveWithCells="1" sizeWithCells="1">
                  <from>
                    <xdr:col>12</xdr:col>
                    <xdr:colOff>400050</xdr:colOff>
                    <xdr:row>3</xdr:row>
                    <xdr:rowOff>161925</xdr:rowOff>
                  </from>
                  <to>
                    <xdr:col>14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51634-8ED5-4096-89A1-863BB59EC509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Drop_Down_1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2025-01-06T18:54:16Z</dcterms:created>
  <dcterms:modified xsi:type="dcterms:W3CDTF">2025-11-30T03:09:16Z</dcterms:modified>
</cp:coreProperties>
</file>